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15840" tabRatio="600" firstSheet="0" activeTab="0" autoFilterDateGrouping="1"/>
  </bookViews>
  <sheets>
    <sheet xmlns:r="http://schemas.openxmlformats.org/officeDocument/2006/relationships" name="ESC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_(&quot;$&quot;* #,##0.00_);_(&quot;$&quot;* \(#,##0.00\);_(&quot;$&quot;* &quot;-&quot;??_);_(@_)"/>
    <numFmt numFmtId="165" formatCode="##,##0.00;[Red]\(##,##0.00\)"/>
    <numFmt numFmtId="166" formatCode="0.0%"/>
  </numFmts>
  <fonts count="9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Yu Gothic UI"/>
      <family val="2"/>
      <color theme="1"/>
      <sz val="10"/>
    </font>
    <font>
      <name val="Yu Gothic UI"/>
      <family val="2"/>
      <b val="1"/>
      <sz val="11"/>
    </font>
    <font>
      <name val="Aptos Narrow"/>
      <family val="2"/>
      <b val="1"/>
      <sz val="10"/>
      <scheme val="minor"/>
    </font>
    <font>
      <name val="Yu Gothic UI"/>
      <family val="2"/>
      <b val="1"/>
      <color theme="1"/>
      <sz val="10"/>
    </font>
    <font>
      <name val="Aptos Narrow"/>
      <family val="2"/>
      <b val="1"/>
      <color theme="1"/>
      <sz val="10"/>
      <scheme val="minor"/>
    </font>
    <font>
      <name val="Aptos Narrow"/>
      <family val="2"/>
      <color theme="1"/>
      <sz val="10"/>
      <scheme val="minor"/>
    </font>
  </fonts>
  <fills count="5">
    <fill>
      <patternFill/>
    </fill>
    <fill>
      <patternFill patternType="gray125"/>
    </fill>
    <fill>
      <patternFill patternType="solid">
        <fgColor rgb="FF00FD28"/>
        <bgColor indexed="64"/>
      </patternFill>
    </fill>
    <fill>
      <patternFill patternType="solid">
        <fgColor rgb="FFB5BBBD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1" fillId="0" borderId="0"/>
    <xf numFmtId="43" fontId="1" fillId="0" borderId="0"/>
    <xf numFmtId="44" fontId="1" fillId="0" borderId="0"/>
  </cellStyleXfs>
  <cellXfs count="42">
    <xf numFmtId="0" fontId="0" fillId="0" borderId="0" pivotButton="0" quotePrefix="0" xfId="0"/>
    <xf numFmtId="0" fontId="3" fillId="0" borderId="0" applyAlignment="1" pivotButton="0" quotePrefix="0" xfId="0">
      <alignment horizontal="center"/>
    </xf>
    <xf numFmtId="164" fontId="3" fillId="0" borderId="0" applyAlignment="1" pivotButton="0" quotePrefix="0" xfId="2">
      <alignment horizontal="center"/>
    </xf>
    <xf numFmtId="43" fontId="3" fillId="0" borderId="0" applyAlignment="1" pivotButton="0" quotePrefix="0" xfId="1">
      <alignment horizontal="center"/>
    </xf>
    <xf numFmtId="43" fontId="3" fillId="0" borderId="0" applyAlignment="1" pivotButton="0" quotePrefix="0" xfId="1">
      <alignment horizontal="left"/>
    </xf>
    <xf numFmtId="43" fontId="3" fillId="0" borderId="0" pivotButton="0" quotePrefix="0" xfId="1"/>
    <xf numFmtId="0" fontId="3" fillId="0" borderId="0" pivotButton="0" quotePrefix="0" xfId="0"/>
    <xf numFmtId="164" fontId="0" fillId="0" borderId="0" pivotButton="0" quotePrefix="0" xfId="2"/>
    <xf numFmtId="0" fontId="5" fillId="2" borderId="1" applyAlignment="1" pivotButton="0" quotePrefix="0" xfId="0">
      <alignment horizontal="center"/>
    </xf>
    <xf numFmtId="43" fontId="5" fillId="2" borderId="1" applyAlignment="1" pivotButton="0" quotePrefix="0" xfId="1">
      <alignment horizontal="center"/>
    </xf>
    <xf numFmtId="0" fontId="6" fillId="3" borderId="1" applyAlignment="1" pivotButton="0" quotePrefix="0" xfId="0">
      <alignment horizontal="center"/>
    </xf>
    <xf numFmtId="164" fontId="5" fillId="2" borderId="1" applyAlignment="1" pivotButton="0" quotePrefix="0" xfId="2">
      <alignment horizontal="center"/>
    </xf>
    <xf numFmtId="0" fontId="7" fillId="0" borderId="0" pivotButton="0" quotePrefix="0" xfId="0"/>
    <xf numFmtId="0" fontId="8" fillId="0" borderId="0" pivotButton="0" quotePrefix="0" xfId="0"/>
    <xf numFmtId="0" fontId="8" fillId="0" borderId="0" applyAlignment="1" pivotButton="0" quotePrefix="0" xfId="0">
      <alignment horizontal="center"/>
    </xf>
    <xf numFmtId="43" fontId="8" fillId="0" borderId="0" pivotButton="0" quotePrefix="0" xfId="1"/>
    <xf numFmtId="164" fontId="8" fillId="0" borderId="0" pivotButton="0" quotePrefix="0" xfId="2"/>
    <xf numFmtId="43" fontId="8" fillId="0" borderId="0" pivotButton="0" quotePrefix="0" xfId="1"/>
    <xf numFmtId="164" fontId="7" fillId="4" borderId="0" pivotButton="0" quotePrefix="0" xfId="2"/>
    <xf numFmtId="165" fontId="0" fillId="0" borderId="0" pivotButton="0" quotePrefix="0" xfId="1"/>
    <xf numFmtId="166" fontId="8" fillId="0" borderId="0" pivotButton="0" quotePrefix="0" xfId="1"/>
    <xf numFmtId="164" fontId="8" fillId="0" borderId="0" pivotButton="0" quotePrefix="0" xfId="2"/>
    <xf numFmtId="43" fontId="3" fillId="0" borderId="0" applyAlignment="1" pivotButton="0" quotePrefix="0" xfId="1">
      <alignment horizontal="center"/>
    </xf>
    <xf numFmtId="43" fontId="3" fillId="0" borderId="0" pivotButton="0" quotePrefix="0" xfId="1"/>
    <xf numFmtId="0" fontId="2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 vertical="center"/>
    </xf>
    <xf numFmtId="3" fontId="4" fillId="0" borderId="0" applyAlignment="1" pivotButton="0" quotePrefix="0" xfId="0">
      <alignment horizontal="center" vertical="center"/>
    </xf>
    <xf numFmtId="166" fontId="3" fillId="0" borderId="0" applyAlignment="1" pivotButton="0" quotePrefix="0" xfId="1">
      <alignment horizontal="center"/>
    </xf>
    <xf numFmtId="166" fontId="0" fillId="0" borderId="0" pivotButton="0" quotePrefix="0" xfId="0"/>
    <xf numFmtId="166" fontId="6" fillId="3" borderId="1" applyAlignment="1" pivotButton="0" quotePrefix="0" xfId="0">
      <alignment horizontal="center"/>
    </xf>
    <xf numFmtId="166" fontId="8" fillId="0" borderId="0" pivotButton="0" quotePrefix="0" xfId="1"/>
    <xf numFmtId="166" fontId="3" fillId="0" borderId="0" applyAlignment="1" pivotButton="0" quotePrefix="0" xfId="1">
      <alignment horizontal="center"/>
    </xf>
    <xf numFmtId="166" fontId="3" fillId="0" borderId="0" applyAlignment="1" pivotButton="0" quotePrefix="0" xfId="1">
      <alignment horizontal="center"/>
    </xf>
    <xf numFmtId="164" fontId="3" fillId="0" borderId="0" applyAlignment="1" pivotButton="0" quotePrefix="0" xfId="2">
      <alignment horizontal="center"/>
    </xf>
    <xf numFmtId="166" fontId="0" fillId="0" borderId="0" pivotButton="0" quotePrefix="0" xfId="0"/>
    <xf numFmtId="164" fontId="0" fillId="0" borderId="0" pivotButton="0" quotePrefix="0" xfId="2"/>
    <xf numFmtId="166" fontId="6" fillId="3" borderId="1" applyAlignment="1" pivotButton="0" quotePrefix="0" xfId="0">
      <alignment horizontal="center"/>
    </xf>
    <xf numFmtId="164" fontId="5" fillId="2" borderId="1" applyAlignment="1" pivotButton="0" quotePrefix="0" xfId="2">
      <alignment horizontal="center"/>
    </xf>
    <xf numFmtId="166" fontId="8" fillId="0" borderId="0" pivotButton="0" quotePrefix="0" xfId="1"/>
    <xf numFmtId="164" fontId="8" fillId="0" borderId="0" pivotButton="0" quotePrefix="0" xfId="2"/>
    <xf numFmtId="164" fontId="7" fillId="4" borderId="0" pivotButton="0" quotePrefix="0" xfId="2"/>
    <xf numFmtId="165" fontId="0" fillId="0" borderId="0" pivotButton="0" quotePrefix="0" xfId="1"/>
  </cellXfs>
  <cellStyles count="3">
    <cellStyle name="Normal" xfId="0" builtinId="0"/>
    <cellStyle name="Comma" xfId="1" builtinId="3"/>
    <cellStyle name="Currency" xfId="2" builtin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1</col>
      <colOff>81916</colOff>
      <row>1</row>
      <rowOff>30481</rowOff>
    </from>
    <to>
      <col>3</col>
      <colOff>177613</colOff>
      <row>3</row>
      <rowOff>95250</rowOff>
    </to>
    <pic>
      <nvPicPr>
        <cNvPr id="2" name="Picture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 l="813" t="7944" r="40331" b="63797"/>
        <a:stretch xmlns:a="http://schemas.openxmlformats.org/drawingml/2006/main">
          <a:fillRect/>
        </a:stretch>
      </blipFill>
      <spPr bwMode="auto">
        <a:xfrm xmlns:a="http://schemas.openxmlformats.org/drawingml/2006/main">
          <a:off x="358141" y="220981"/>
          <a:ext cx="1362522" cy="445769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O91"/>
  <sheetViews>
    <sheetView showGridLines="0" tabSelected="1" zoomScale="85" zoomScaleNormal="85" workbookViewId="0">
      <pane xSplit="15" ySplit="4" topLeftCell="P5" activePane="bottomRight" state="frozen"/>
      <selection activeCell="D18" sqref="D18"/>
      <selection pane="topRight" activeCell="D18" sqref="D18"/>
      <selection pane="bottomLeft" activeCell="D18" sqref="D18"/>
      <selection pane="bottomRight" activeCell="L10" sqref="L10"/>
    </sheetView>
  </sheetViews>
  <sheetFormatPr baseColWidth="8" defaultColWidth="4.140625" defaultRowHeight="15" customHeight="1"/>
  <cols>
    <col width="4.140625" customWidth="1" style="6" min="1" max="1"/>
    <col width="9.42578125" bestFit="1" customWidth="1" style="1" min="2" max="2"/>
    <col width="9.5703125" bestFit="1" customWidth="1" style="1" min="3" max="3"/>
    <col width="8.7109375" bestFit="1" customWidth="1" style="1" min="4" max="4"/>
    <col width="17" bestFit="1" customWidth="1" style="1" min="5" max="5"/>
    <col width="12.85546875" bestFit="1" customWidth="1" style="1" min="6" max="6"/>
    <col width="21.28515625" bestFit="1" customWidth="1" style="1" min="7" max="7"/>
    <col width="17.28515625" bestFit="1" customWidth="1" style="1" min="8" max="8"/>
    <col width="15.42578125" bestFit="1" customWidth="1" style="1" min="9" max="9"/>
    <col width="22.42578125" bestFit="1" customWidth="1" style="22" min="10" max="10"/>
    <col width="11.42578125" bestFit="1" customWidth="1" style="22" min="11" max="11"/>
    <col width="10.140625" bestFit="1" customWidth="1" style="32" min="12" max="12"/>
    <col width="26.140625" bestFit="1" customWidth="1" style="22" min="13" max="13"/>
    <col width="18" bestFit="1" customWidth="1" style="23" min="14" max="14"/>
    <col width="14.42578125" bestFit="1" customWidth="1" style="23" min="15" max="15"/>
    <col width="4.140625" customWidth="1" style="6" min="16" max="16384"/>
  </cols>
  <sheetData>
    <row r="1" ht="15" customHeight="1">
      <c r="F1" s="33" t="n"/>
      <c r="G1" s="33" t="n"/>
      <c r="H1" s="33" t="n"/>
      <c r="I1" s="33" t="n"/>
      <c r="J1" s="22" t="n"/>
      <c r="K1" s="22" t="n"/>
      <c r="L1" s="32" t="n"/>
      <c r="M1" s="22" t="n"/>
      <c r="N1" s="4" t="n"/>
      <c r="O1" s="23" t="n"/>
    </row>
    <row r="2" ht="15" customHeight="1">
      <c r="B2" s="25" t="inlineStr">
        <is>
          <t>Tiendas  Soriana, S.A. de C.V.</t>
        </is>
      </c>
    </row>
    <row r="3" ht="15" customHeight="1">
      <c r="B3" s="26" t="inlineStr">
        <is>
          <t>334177 INDUSTRIAS PIWI S.A. DE CV.</t>
        </is>
      </c>
    </row>
    <row r="4" ht="15" customHeight="1">
      <c r="B4" s="25" t="inlineStr">
        <is>
          <t>Convenio comerciales 2020 -2024</t>
        </is>
      </c>
    </row>
    <row r="5" ht="15" customHeight="1">
      <c r="L5" s="34" t="n"/>
      <c r="O5" s="35" t="n"/>
    </row>
    <row r="6" ht="15" customHeight="1">
      <c r="B6" s="24" t="inlineStr">
        <is>
          <t>2020-2019</t>
        </is>
      </c>
    </row>
    <row r="7" ht="15" customHeight="1">
      <c r="B7" s="8" t="inlineStr">
        <is>
          <t>Proveedor</t>
        </is>
      </c>
      <c r="C7" s="8" t="inlineStr">
        <is>
          <t>Mes</t>
        </is>
      </c>
      <c r="D7" s="8" t="inlineStr">
        <is>
          <t>Convenio</t>
        </is>
      </c>
      <c r="E7" s="9" t="inlineStr">
        <is>
          <t>Base Compra 2020</t>
        </is>
      </c>
      <c r="F7" s="9" t="inlineStr">
        <is>
          <t>Devoluciones</t>
        </is>
      </c>
      <c r="G7" s="9" t="inlineStr">
        <is>
          <t>Total Base Compra 2020</t>
        </is>
      </c>
      <c r="H7" s="10" t="inlineStr">
        <is>
          <t>Base Compra 2019</t>
        </is>
      </c>
      <c r="I7" s="10" t="inlineStr">
        <is>
          <t>Devolucion 2019</t>
        </is>
      </c>
      <c r="J7" s="10" t="inlineStr">
        <is>
          <t>Total Base Compra 2019</t>
        </is>
      </c>
      <c r="K7" s="10" t="inlineStr">
        <is>
          <t>Crecimiento</t>
        </is>
      </c>
      <c r="L7" s="36" t="inlineStr">
        <is>
          <t>Porcentaje</t>
        </is>
      </c>
      <c r="M7" s="9" t="inlineStr">
        <is>
          <t>Descuento calculado correcto</t>
        </is>
      </c>
      <c r="N7" s="9" t="inlineStr">
        <is>
          <t>Descuento aplicado</t>
        </is>
      </c>
      <c r="O7" s="37" t="inlineStr">
        <is>
          <t xml:space="preserve">Diferencia </t>
        </is>
      </c>
    </row>
    <row r="8" ht="15" customHeight="1">
      <c r="B8" s="12" t="inlineStr">
        <is>
          <t>334177</t>
        </is>
      </c>
      <c r="C8" s="13" t="inlineStr">
        <is>
          <t>Enero</t>
        </is>
      </c>
      <c r="D8" s="14" t="n">
        <v>0</v>
      </c>
      <c r="E8" s="17" t="n">
        <v>921509.67</v>
      </c>
      <c r="F8" s="17" t="n">
        <v>0</v>
      </c>
      <c r="G8" s="17">
        <f>E8-F8</f>
        <v/>
      </c>
      <c r="H8" s="17" t="n"/>
      <c r="I8" s="17" t="n">
        <v>0</v>
      </c>
      <c r="J8" s="17">
        <f>H8-I8</f>
        <v/>
      </c>
      <c r="K8" s="17">
        <f>((G8/J8)*100)-100</f>
        <v/>
      </c>
      <c r="L8" s="38" t="n"/>
      <c r="M8" s="17">
        <f>G8*L8</f>
        <v/>
      </c>
      <c r="N8" s="17" t="n">
        <v>-2.32</v>
      </c>
      <c r="O8" s="39">
        <f>M8-N8</f>
        <v/>
      </c>
    </row>
    <row r="9" ht="15" customHeight="1">
      <c r="B9" s="12">
        <f>B8</f>
        <v/>
      </c>
      <c r="C9" s="13" t="inlineStr">
        <is>
          <t>Febrero</t>
        </is>
      </c>
      <c r="D9" s="14">
        <f>$D$8</f>
        <v/>
      </c>
      <c r="E9" s="17" t="n">
        <v>639474.86</v>
      </c>
      <c r="F9" s="17" t="n">
        <v>0</v>
      </c>
      <c r="G9" s="17">
        <f>E9-F9</f>
        <v/>
      </c>
      <c r="H9" s="17" t="n"/>
      <c r="I9" s="17" t="n">
        <v>0</v>
      </c>
      <c r="J9" s="17">
        <f>H9-I9</f>
        <v/>
      </c>
      <c r="K9" s="17">
        <f>((G9/J9)*100)-100</f>
        <v/>
      </c>
      <c r="L9" s="38" t="n"/>
      <c r="M9" s="17">
        <f>G9*L9</f>
        <v/>
      </c>
      <c r="N9" s="17" t="n">
        <v>-2.32</v>
      </c>
      <c r="O9" s="39">
        <f>M9-N9</f>
        <v/>
      </c>
    </row>
    <row r="10" ht="15" customHeight="1">
      <c r="B10" s="12">
        <f>B9</f>
        <v/>
      </c>
      <c r="C10" s="13" t="inlineStr">
        <is>
          <t>Marzo</t>
        </is>
      </c>
      <c r="D10" s="14">
        <f>$D$8</f>
        <v/>
      </c>
      <c r="E10" s="17" t="n">
        <v>695115.58</v>
      </c>
      <c r="F10" s="17" t="n">
        <v>0</v>
      </c>
      <c r="G10" s="17">
        <f>E10-F10</f>
        <v/>
      </c>
      <c r="H10" s="17" t="n"/>
      <c r="I10" s="17" t="n">
        <v>0</v>
      </c>
      <c r="J10" s="17">
        <f>H10-I10</f>
        <v/>
      </c>
      <c r="K10" s="17">
        <f>((G10/J10)*100)-100</f>
        <v/>
      </c>
      <c r="L10" s="38" t="n"/>
      <c r="M10" s="17">
        <f>G10*L10</f>
        <v/>
      </c>
      <c r="N10" s="17" t="n">
        <v>-2.32</v>
      </c>
      <c r="O10" s="39">
        <f>M10-N10</f>
        <v/>
      </c>
    </row>
    <row r="11" ht="15" customHeight="1">
      <c r="B11" s="12">
        <f>B10</f>
        <v/>
      </c>
      <c r="C11" s="13" t="inlineStr">
        <is>
          <t>Abril</t>
        </is>
      </c>
      <c r="D11" s="14">
        <f>$D$8</f>
        <v/>
      </c>
      <c r="E11" s="17" t="n">
        <v>505153.18</v>
      </c>
      <c r="F11" s="17" t="n">
        <v>0</v>
      </c>
      <c r="G11" s="17">
        <f>E11-F11</f>
        <v/>
      </c>
      <c r="H11" s="17" t="n"/>
      <c r="I11" s="17" t="n">
        <v>0</v>
      </c>
      <c r="J11" s="17">
        <f>H11-I11</f>
        <v/>
      </c>
      <c r="K11" s="17">
        <f>((G11/J11)*100)-100</f>
        <v/>
      </c>
      <c r="L11" s="38" t="n"/>
      <c r="M11" s="17">
        <f>G11*L11</f>
        <v/>
      </c>
      <c r="N11" s="17" t="n">
        <v>-2.32</v>
      </c>
      <c r="O11" s="39">
        <f>M11-N11</f>
        <v/>
      </c>
    </row>
    <row r="12" ht="15" customHeight="1">
      <c r="B12" s="12">
        <f>B11</f>
        <v/>
      </c>
      <c r="C12" s="13" t="inlineStr">
        <is>
          <t>Mayo</t>
        </is>
      </c>
      <c r="D12" s="14">
        <f>$D$8</f>
        <v/>
      </c>
      <c r="E12" s="17" t="n">
        <v>645280.05</v>
      </c>
      <c r="F12" s="17" t="n">
        <v>0</v>
      </c>
      <c r="G12" s="17">
        <f>E12-F12</f>
        <v/>
      </c>
      <c r="H12" s="17" t="n"/>
      <c r="I12" s="17" t="n">
        <v>0</v>
      </c>
      <c r="J12" s="17">
        <f>H12-I12</f>
        <v/>
      </c>
      <c r="K12" s="17">
        <f>((G12/J12)*100)-100</f>
        <v/>
      </c>
      <c r="L12" s="38" t="n"/>
      <c r="M12" s="17">
        <f>G12*L12</f>
        <v/>
      </c>
      <c r="N12" s="17" t="n">
        <v>-2.32</v>
      </c>
      <c r="O12" s="39">
        <f>M12-N12</f>
        <v/>
      </c>
    </row>
    <row r="13" ht="15" customHeight="1">
      <c r="B13" s="12">
        <f>B12</f>
        <v/>
      </c>
      <c r="C13" s="13" t="inlineStr">
        <is>
          <t>Junio</t>
        </is>
      </c>
      <c r="D13" s="14">
        <f>$D$8</f>
        <v/>
      </c>
      <c r="E13" s="17" t="n">
        <v>847780.3</v>
      </c>
      <c r="F13" s="17" t="n">
        <v>0</v>
      </c>
      <c r="G13" s="17">
        <f>E13-F13</f>
        <v/>
      </c>
      <c r="H13" s="17" t="n"/>
      <c r="I13" s="17" t="n">
        <v>0</v>
      </c>
      <c r="J13" s="17">
        <f>H13-I13</f>
        <v/>
      </c>
      <c r="K13" s="17">
        <f>((G13/J13)*100)-100</f>
        <v/>
      </c>
      <c r="L13" s="38" t="n"/>
      <c r="M13" s="17">
        <f>G13*L13</f>
        <v/>
      </c>
      <c r="N13" s="17" t="n">
        <v>-2.32</v>
      </c>
      <c r="O13" s="39">
        <f>M13-N13</f>
        <v/>
      </c>
    </row>
    <row r="14" ht="15" customHeight="1">
      <c r="B14" s="12">
        <f>B13</f>
        <v/>
      </c>
      <c r="C14" s="13" t="inlineStr">
        <is>
          <t>Julio</t>
        </is>
      </c>
      <c r="D14" s="14">
        <f>$D$8</f>
        <v/>
      </c>
      <c r="E14" s="17" t="n">
        <v>864502.83</v>
      </c>
      <c r="F14" s="17" t="n">
        <v>0</v>
      </c>
      <c r="G14" s="17">
        <f>E14-F14</f>
        <v/>
      </c>
      <c r="H14" s="17" t="n"/>
      <c r="I14" s="17" t="n">
        <v>0</v>
      </c>
      <c r="J14" s="17">
        <f>H14-I14</f>
        <v/>
      </c>
      <c r="K14" s="17">
        <f>((G14/J14)*100)-100</f>
        <v/>
      </c>
      <c r="L14" s="38" t="n"/>
      <c r="M14" s="17">
        <f>G14*L14</f>
        <v/>
      </c>
      <c r="N14" s="17" t="n">
        <v>-2.32</v>
      </c>
      <c r="O14" s="39">
        <f>M14-N14</f>
        <v/>
      </c>
    </row>
    <row r="15" ht="15" customHeight="1">
      <c r="B15" s="12">
        <f>B14</f>
        <v/>
      </c>
      <c r="C15" s="13" t="inlineStr">
        <is>
          <t>Agosto</t>
        </is>
      </c>
      <c r="D15" s="14">
        <f>$D$8</f>
        <v/>
      </c>
      <c r="E15" s="17" t="n">
        <v>112979.61</v>
      </c>
      <c r="F15" s="17" t="n">
        <v>0</v>
      </c>
      <c r="G15" s="17">
        <f>E15-F15</f>
        <v/>
      </c>
      <c r="H15" s="17" t="n"/>
      <c r="I15" s="17" t="n">
        <v>0</v>
      </c>
      <c r="J15" s="17">
        <f>H15-I15</f>
        <v/>
      </c>
      <c r="K15" s="17">
        <f>((G15/J15)*100)-100</f>
        <v/>
      </c>
      <c r="L15" s="38" t="n"/>
      <c r="M15" s="17">
        <f>G15*L15</f>
        <v/>
      </c>
      <c r="N15" s="17" t="n">
        <v>-2.32</v>
      </c>
      <c r="O15" s="39">
        <f>M15-N15</f>
        <v/>
      </c>
    </row>
    <row r="16" ht="15" customHeight="1">
      <c r="B16" s="12">
        <f>B15</f>
        <v/>
      </c>
      <c r="C16" s="13" t="inlineStr">
        <is>
          <t>Septiembre</t>
        </is>
      </c>
      <c r="D16" s="14">
        <f>$D$8</f>
        <v/>
      </c>
      <c r="E16" s="17" t="n">
        <v>1065835.16</v>
      </c>
      <c r="F16" s="17" t="n">
        <v>0</v>
      </c>
      <c r="G16" s="17">
        <f>E16-F16</f>
        <v/>
      </c>
      <c r="H16" s="17" t="n"/>
      <c r="I16" s="17" t="n">
        <v>0</v>
      </c>
      <c r="J16" s="17">
        <f>H16-I16</f>
        <v/>
      </c>
      <c r="K16" s="17">
        <f>((G16/J16)*100)-100</f>
        <v/>
      </c>
      <c r="L16" s="38" t="n"/>
      <c r="M16" s="17">
        <f>G16*L16</f>
        <v/>
      </c>
      <c r="N16" s="17" t="n">
        <v>-2.32</v>
      </c>
      <c r="O16" s="39">
        <f>M16-N16</f>
        <v/>
      </c>
    </row>
    <row r="17" ht="15" customHeight="1">
      <c r="B17" s="12">
        <f>B16</f>
        <v/>
      </c>
      <c r="C17" s="13" t="inlineStr">
        <is>
          <t>Octubre</t>
        </is>
      </c>
      <c r="D17" s="14">
        <f>$D$8</f>
        <v/>
      </c>
      <c r="E17" s="17" t="n">
        <v>734095.16</v>
      </c>
      <c r="F17" s="17" t="n">
        <v>0</v>
      </c>
      <c r="G17" s="17">
        <f>E17-F17</f>
        <v/>
      </c>
      <c r="H17" s="17" t="n"/>
      <c r="I17" s="17" t="n">
        <v>0</v>
      </c>
      <c r="J17" s="17">
        <f>H17-I17</f>
        <v/>
      </c>
      <c r="K17" s="17">
        <f>((G17/J17)*100)-100</f>
        <v/>
      </c>
      <c r="L17" s="38" t="n"/>
      <c r="M17" s="17">
        <f>G17*L17</f>
        <v/>
      </c>
      <c r="N17" s="17" t="n">
        <v>-2.32</v>
      </c>
      <c r="O17" s="39">
        <f>M17-N17</f>
        <v/>
      </c>
    </row>
    <row r="18" ht="15" customHeight="1">
      <c r="B18" s="12">
        <f>B17</f>
        <v/>
      </c>
      <c r="C18" s="13" t="inlineStr">
        <is>
          <t>Noviembre</t>
        </is>
      </c>
      <c r="D18" s="14">
        <f>$D$8</f>
        <v/>
      </c>
      <c r="E18" s="17" t="n">
        <v>542901.65</v>
      </c>
      <c r="F18" s="17" t="n">
        <v>0</v>
      </c>
      <c r="G18" s="17">
        <f>E18-F18</f>
        <v/>
      </c>
      <c r="H18" s="17" t="n"/>
      <c r="I18" s="17" t="n">
        <v>0</v>
      </c>
      <c r="J18" s="17">
        <f>H18-I18</f>
        <v/>
      </c>
      <c r="K18" s="17">
        <f>((G18/J18)*100)-100</f>
        <v/>
      </c>
      <c r="L18" s="38" t="n"/>
      <c r="M18" s="17">
        <f>G18*L18</f>
        <v/>
      </c>
      <c r="N18" s="17" t="n">
        <v>-2.32</v>
      </c>
      <c r="O18" s="39">
        <f>M18-N18</f>
        <v/>
      </c>
    </row>
    <row r="19" ht="15" customHeight="1">
      <c r="B19" s="12">
        <f>B18</f>
        <v/>
      </c>
      <c r="C19" s="13" t="inlineStr">
        <is>
          <t>Diciembre</t>
        </is>
      </c>
      <c r="D19" s="14">
        <f>$D$8</f>
        <v/>
      </c>
      <c r="E19" s="17" t="n">
        <v>953053.87</v>
      </c>
      <c r="F19" s="17" t="n">
        <v>0</v>
      </c>
      <c r="G19" s="17">
        <f>E19-F19</f>
        <v/>
      </c>
      <c r="H19" s="17" t="n"/>
      <c r="I19" s="17" t="n">
        <v>0</v>
      </c>
      <c r="J19" s="17">
        <f>H19-I19</f>
        <v/>
      </c>
      <c r="K19" s="17">
        <f>((G19/J19)*100)-100</f>
        <v/>
      </c>
      <c r="L19" s="38" t="n"/>
      <c r="M19" s="17">
        <f>G19*L19</f>
        <v/>
      </c>
      <c r="N19" s="17" t="n">
        <v>-2.32</v>
      </c>
      <c r="O19" s="39">
        <f>M19-N19</f>
        <v/>
      </c>
    </row>
    <row r="20" ht="15" customHeight="1">
      <c r="B20" s="13" t="n"/>
      <c r="C20" s="13" t="n"/>
      <c r="D20" s="13" t="n"/>
      <c r="E20" s="17" t="n"/>
      <c r="F20" s="17" t="n"/>
      <c r="G20" s="17" t="n"/>
      <c r="H20" s="17" t="n"/>
      <c r="I20" s="17" t="n"/>
      <c r="J20" s="17" t="n"/>
      <c r="K20" s="17" t="n"/>
      <c r="L20" s="38" t="n"/>
      <c r="M20" s="17" t="n"/>
      <c r="N20" s="17" t="n"/>
      <c r="O20" s="40">
        <f>SUM(O8:O19)</f>
        <v/>
      </c>
    </row>
    <row r="21" ht="15" customHeight="1">
      <c r="B21" s="12">
        <f>B19</f>
        <v/>
      </c>
      <c r="C21" s="13" t="inlineStr">
        <is>
          <t>TOTAL</t>
        </is>
      </c>
      <c r="D21" s="14">
        <f>$D$8</f>
        <v/>
      </c>
      <c r="E21" s="17">
        <f>+SUM(E8:E20)</f>
        <v/>
      </c>
      <c r="F21" s="17" t="n"/>
      <c r="G21" s="17">
        <f>E21-F21</f>
        <v/>
      </c>
      <c r="H21" s="17">
        <f>+SUM(H8:H19)</f>
        <v/>
      </c>
      <c r="I21" s="17" t="n"/>
      <c r="J21" s="17">
        <f>H21-I21</f>
        <v/>
      </c>
      <c r="K21" s="17">
        <f>((G21/J21)*100)-100</f>
        <v/>
      </c>
      <c r="L21" s="38" t="n">
        <v>0</v>
      </c>
      <c r="M21" s="17">
        <f>G21*L21</f>
        <v/>
      </c>
      <c r="N21" s="41">
        <f>+SUM(N8:N19)</f>
        <v/>
      </c>
      <c r="O21" s="39">
        <f>M21-N21</f>
        <v/>
      </c>
    </row>
    <row r="22" ht="15" customHeight="1">
      <c r="L22" s="34" t="n"/>
      <c r="O22" s="35" t="n"/>
    </row>
    <row r="23" ht="15" customHeight="1">
      <c r="B23" s="24" t="inlineStr">
        <is>
          <t>2021-2020</t>
        </is>
      </c>
    </row>
    <row r="24" ht="15" customHeight="1">
      <c r="B24" s="8" t="inlineStr">
        <is>
          <t>Proveedor</t>
        </is>
      </c>
      <c r="C24" s="8" t="inlineStr">
        <is>
          <t>Mes</t>
        </is>
      </c>
      <c r="D24" s="8" t="inlineStr">
        <is>
          <t>Convenio</t>
        </is>
      </c>
      <c r="E24" s="9" t="inlineStr">
        <is>
          <t>Base Compra 2021</t>
        </is>
      </c>
      <c r="F24" s="9" t="inlineStr">
        <is>
          <t>Devoluciones</t>
        </is>
      </c>
      <c r="G24" s="9" t="inlineStr">
        <is>
          <t>Total Base Compra 2021</t>
        </is>
      </c>
      <c r="H24" s="10" t="inlineStr">
        <is>
          <t>Base Compra 2020</t>
        </is>
      </c>
      <c r="I24" s="10" t="inlineStr">
        <is>
          <t>Devolucion 2020</t>
        </is>
      </c>
      <c r="J24" s="10" t="inlineStr">
        <is>
          <t>Total Base Compra 2020</t>
        </is>
      </c>
      <c r="K24" s="10" t="inlineStr">
        <is>
          <t>Crecimiento</t>
        </is>
      </c>
      <c r="L24" s="36" t="inlineStr">
        <is>
          <t>Porcentaje</t>
        </is>
      </c>
      <c r="M24" s="9" t="inlineStr">
        <is>
          <t>Descuento calculado correcto</t>
        </is>
      </c>
      <c r="N24" s="9" t="inlineStr">
        <is>
          <t>Descuento aplicado</t>
        </is>
      </c>
      <c r="O24" s="37" t="inlineStr">
        <is>
          <t xml:space="preserve">Diferencia </t>
        </is>
      </c>
    </row>
    <row r="25" ht="15" customHeight="1">
      <c r="B25" s="12">
        <f>$B$8</f>
        <v/>
      </c>
      <c r="C25" s="13" t="inlineStr">
        <is>
          <t>Enero</t>
        </is>
      </c>
      <c r="D25" s="14">
        <f>$D$8</f>
        <v/>
      </c>
      <c r="E25" s="17" t="n">
        <v>810439.53</v>
      </c>
      <c r="F25" s="17" t="n"/>
      <c r="G25" s="17">
        <f>E25-F25</f>
        <v/>
      </c>
      <c r="H25" s="17" t="n">
        <v>921509.67</v>
      </c>
      <c r="I25" s="17" t="n">
        <v>0</v>
      </c>
      <c r="J25" s="17">
        <f>H25-I25</f>
        <v/>
      </c>
      <c r="K25" s="17">
        <f>((G25/J25)*100)-100</f>
        <v/>
      </c>
      <c r="L25" s="38" t="n"/>
      <c r="M25" s="17">
        <f>G25*L25</f>
        <v/>
      </c>
      <c r="N25" s="17" t="n">
        <v>-2.32</v>
      </c>
      <c r="O25" s="39">
        <f>M25-N25</f>
        <v/>
      </c>
    </row>
    <row r="26" ht="15" customHeight="1">
      <c r="B26" s="12">
        <f>$B$8</f>
        <v/>
      </c>
      <c r="C26" s="13" t="inlineStr">
        <is>
          <t>Febrero</t>
        </is>
      </c>
      <c r="D26" s="14">
        <f>$D$8</f>
        <v/>
      </c>
      <c r="E26" s="17" t="n">
        <v>670171.53</v>
      </c>
      <c r="F26" s="17" t="n"/>
      <c r="G26" s="17">
        <f>E26-F26</f>
        <v/>
      </c>
      <c r="H26" s="17" t="n">
        <v>639474.86</v>
      </c>
      <c r="I26" s="17" t="n">
        <v>0</v>
      </c>
      <c r="J26" s="17">
        <f>H26-I26</f>
        <v/>
      </c>
      <c r="K26" s="17">
        <f>((G26/J26)*100)-100</f>
        <v/>
      </c>
      <c r="L26" s="38" t="n"/>
      <c r="M26" s="17">
        <f>G26*L26</f>
        <v/>
      </c>
      <c r="N26" s="17" t="n">
        <v>-2.32</v>
      </c>
      <c r="O26" s="39">
        <f>M26-N26</f>
        <v/>
      </c>
    </row>
    <row r="27" ht="15" customHeight="1">
      <c r="B27" s="12">
        <f>$B$8</f>
        <v/>
      </c>
      <c r="C27" s="13" t="inlineStr">
        <is>
          <t>Marzo</t>
        </is>
      </c>
      <c r="D27" s="14">
        <f>$D$8</f>
        <v/>
      </c>
      <c r="E27" s="17" t="n">
        <v>649451.23</v>
      </c>
      <c r="F27" s="17" t="n"/>
      <c r="G27" s="17">
        <f>E27-F27</f>
        <v/>
      </c>
      <c r="H27" s="17" t="n">
        <v>695115.58</v>
      </c>
      <c r="I27" s="17" t="n">
        <v>0</v>
      </c>
      <c r="J27" s="17">
        <f>H27-I27</f>
        <v/>
      </c>
      <c r="K27" s="17">
        <f>((G27/J27)*100)-100</f>
        <v/>
      </c>
      <c r="L27" s="38" t="n"/>
      <c r="M27" s="17">
        <f>G27*L27</f>
        <v/>
      </c>
      <c r="N27" s="17" t="n">
        <v>-2.32</v>
      </c>
      <c r="O27" s="39">
        <f>M27-N27</f>
        <v/>
      </c>
    </row>
    <row r="28" ht="15" customHeight="1">
      <c r="B28" s="12">
        <f>$B$8</f>
        <v/>
      </c>
      <c r="C28" s="13" t="inlineStr">
        <is>
          <t>Abril</t>
        </is>
      </c>
      <c r="D28" s="14">
        <f>$D$8</f>
        <v/>
      </c>
      <c r="E28" s="17" t="n">
        <v>584441.21</v>
      </c>
      <c r="F28" s="17" t="n"/>
      <c r="G28" s="17">
        <f>E28-F28</f>
        <v/>
      </c>
      <c r="H28" s="17" t="n">
        <v>505153.18</v>
      </c>
      <c r="I28" s="17" t="n">
        <v>0</v>
      </c>
      <c r="J28" s="17">
        <f>H28-I28</f>
        <v/>
      </c>
      <c r="K28" s="17">
        <f>((G28/J28)*100)-100</f>
        <v/>
      </c>
      <c r="L28" s="38" t="n"/>
      <c r="M28" s="17">
        <f>G28*L28</f>
        <v/>
      </c>
      <c r="N28" s="17" t="n"/>
      <c r="O28" s="39">
        <f>M28-N28</f>
        <v/>
      </c>
    </row>
    <row r="29" ht="15" customHeight="1">
      <c r="B29" s="12">
        <f>$B$8</f>
        <v/>
      </c>
      <c r="C29" s="13" t="inlineStr">
        <is>
          <t>Mayo</t>
        </is>
      </c>
      <c r="D29" s="14">
        <f>$D$8</f>
        <v/>
      </c>
      <c r="E29" s="17" t="n">
        <v>694686.74</v>
      </c>
      <c r="F29" s="17" t="n"/>
      <c r="G29" s="17">
        <f>E29-F29</f>
        <v/>
      </c>
      <c r="H29" s="17" t="n">
        <v>645280.05</v>
      </c>
      <c r="I29" s="17" t="n">
        <v>0</v>
      </c>
      <c r="J29" s="17">
        <f>H29-I29</f>
        <v/>
      </c>
      <c r="K29" s="17">
        <f>((G29/J29)*100)-100</f>
        <v/>
      </c>
      <c r="L29" s="38" t="n"/>
      <c r="M29" s="17">
        <f>G29*L29</f>
        <v/>
      </c>
      <c r="N29" s="17" t="n">
        <v>-4.64</v>
      </c>
      <c r="O29" s="39">
        <f>M29-N29</f>
        <v/>
      </c>
    </row>
    <row r="30" ht="15" customHeight="1">
      <c r="B30" s="12">
        <f>$B$8</f>
        <v/>
      </c>
      <c r="C30" s="13" t="inlineStr">
        <is>
          <t>Junio</t>
        </is>
      </c>
      <c r="D30" s="14">
        <f>$D$8</f>
        <v/>
      </c>
      <c r="E30" s="17" t="n">
        <v>638335.12</v>
      </c>
      <c r="F30" s="17" t="n"/>
      <c r="G30" s="17">
        <f>E30-F30</f>
        <v/>
      </c>
      <c r="H30" s="17" t="n">
        <v>847780.3</v>
      </c>
      <c r="I30" s="17" t="n">
        <v>0</v>
      </c>
      <c r="J30" s="17">
        <f>H30-I30</f>
        <v/>
      </c>
      <c r="K30" s="17">
        <f>((G30/J30)*100)-100</f>
        <v/>
      </c>
      <c r="L30" s="38" t="n"/>
      <c r="M30" s="17">
        <f>G30*L30</f>
        <v/>
      </c>
      <c r="N30" s="17" t="n"/>
      <c r="O30" s="39">
        <f>M30-N30</f>
        <v/>
      </c>
    </row>
    <row r="31" ht="15" customHeight="1">
      <c r="B31" s="12">
        <f>$B$8</f>
        <v/>
      </c>
      <c r="C31" s="13" t="inlineStr">
        <is>
          <t>Julio</t>
        </is>
      </c>
      <c r="D31" s="14">
        <f>$D$8</f>
        <v/>
      </c>
      <c r="E31" s="17" t="n">
        <v>1349817.75</v>
      </c>
      <c r="F31" s="17" t="n">
        <v>-999.59</v>
      </c>
      <c r="G31" s="17">
        <f>E31-F31</f>
        <v/>
      </c>
      <c r="H31" s="17" t="n">
        <v>864502.83</v>
      </c>
      <c r="I31" s="17" t="n">
        <v>0</v>
      </c>
      <c r="J31" s="17">
        <f>H31-I31</f>
        <v/>
      </c>
      <c r="K31" s="17">
        <f>((G31/J31)*100)-100</f>
        <v/>
      </c>
      <c r="L31" s="38" t="n"/>
      <c r="M31" s="17">
        <f>G31*L31</f>
        <v/>
      </c>
      <c r="N31" s="17" t="n"/>
      <c r="O31" s="39">
        <f>M31-N31</f>
        <v/>
      </c>
    </row>
    <row r="32" ht="15" customHeight="1">
      <c r="B32" s="12">
        <f>$B$8</f>
        <v/>
      </c>
      <c r="C32" s="13" t="inlineStr">
        <is>
          <t>Agosto</t>
        </is>
      </c>
      <c r="D32" s="14">
        <f>$D$8</f>
        <v/>
      </c>
      <c r="E32" s="17" t="n">
        <v>548232.12</v>
      </c>
      <c r="F32" s="17" t="n"/>
      <c r="G32" s="17">
        <f>E32-F32</f>
        <v/>
      </c>
      <c r="H32" s="17" t="n">
        <v>112979.61</v>
      </c>
      <c r="I32" s="17" t="n">
        <v>0</v>
      </c>
      <c r="J32" s="17">
        <f>H32-I32</f>
        <v/>
      </c>
      <c r="K32" s="17">
        <f>((G32/J32)*100)-100</f>
        <v/>
      </c>
      <c r="L32" s="38" t="n"/>
      <c r="M32" s="17">
        <f>G32*L32</f>
        <v/>
      </c>
      <c r="N32" s="17" t="n">
        <v>-6.96</v>
      </c>
      <c r="O32" s="39">
        <f>M32-N32</f>
        <v/>
      </c>
    </row>
    <row r="33" ht="15" customHeight="1">
      <c r="B33" s="12">
        <f>$B$8</f>
        <v/>
      </c>
      <c r="C33" s="13" t="inlineStr">
        <is>
          <t>Septiembre</t>
        </is>
      </c>
      <c r="D33" s="14">
        <f>$D$8</f>
        <v/>
      </c>
      <c r="E33" s="17" t="n">
        <v>543631.92</v>
      </c>
      <c r="F33" s="17" t="n">
        <v>-137.51</v>
      </c>
      <c r="G33" s="17">
        <f>E33-F33</f>
        <v/>
      </c>
      <c r="H33" s="17" t="n">
        <v>1065835.16</v>
      </c>
      <c r="I33" s="17" t="n">
        <v>0</v>
      </c>
      <c r="J33" s="17">
        <f>H33-I33</f>
        <v/>
      </c>
      <c r="K33" s="17">
        <f>((G33/J33)*100)-100</f>
        <v/>
      </c>
      <c r="L33" s="38" t="n"/>
      <c r="M33" s="17">
        <f>G33*L33</f>
        <v/>
      </c>
      <c r="N33" s="17" t="n">
        <v>-2.32</v>
      </c>
      <c r="O33" s="39">
        <f>M33-N33</f>
        <v/>
      </c>
    </row>
    <row r="34" ht="15" customHeight="1">
      <c r="B34" s="12">
        <f>$B$8</f>
        <v/>
      </c>
      <c r="C34" s="13" t="inlineStr">
        <is>
          <t>Octubre</t>
        </is>
      </c>
      <c r="D34" s="14">
        <f>$D$8</f>
        <v/>
      </c>
      <c r="E34" s="17" t="n">
        <v>558131.47</v>
      </c>
      <c r="F34" s="17" t="n"/>
      <c r="G34" s="17">
        <f>E34-F34</f>
        <v/>
      </c>
      <c r="H34" s="17" t="n">
        <v>734095.16</v>
      </c>
      <c r="I34" s="17" t="n">
        <v>0</v>
      </c>
      <c r="J34" s="17">
        <f>H34-I34</f>
        <v/>
      </c>
      <c r="K34" s="17">
        <f>((G34/J34)*100)-100</f>
        <v/>
      </c>
      <c r="L34" s="38" t="n"/>
      <c r="M34" s="17">
        <f>G34*L34</f>
        <v/>
      </c>
      <c r="N34" s="17" t="n">
        <v>-2.32</v>
      </c>
      <c r="O34" s="39">
        <f>M34-N34</f>
        <v/>
      </c>
    </row>
    <row r="35" ht="15" customHeight="1">
      <c r="B35" s="12">
        <f>$B$8</f>
        <v/>
      </c>
      <c r="C35" s="13" t="inlineStr">
        <is>
          <t>Noviembre</t>
        </is>
      </c>
      <c r="D35" s="14">
        <f>$D$8</f>
        <v/>
      </c>
      <c r="E35" s="17" t="n">
        <v>573198.36</v>
      </c>
      <c r="F35" s="17" t="n"/>
      <c r="G35" s="17">
        <f>E35-F35</f>
        <v/>
      </c>
      <c r="H35" s="17" t="n">
        <v>542901.65</v>
      </c>
      <c r="I35" s="17" t="n">
        <v>0</v>
      </c>
      <c r="J35" s="17">
        <f>H35-I35</f>
        <v/>
      </c>
      <c r="K35" s="17">
        <f>((G35/J35)*100)-100</f>
        <v/>
      </c>
      <c r="L35" s="38" t="n"/>
      <c r="M35" s="17">
        <f>G35*L35</f>
        <v/>
      </c>
      <c r="N35" s="17" t="n">
        <v>-2.32</v>
      </c>
      <c r="O35" s="39">
        <f>M35-N35</f>
        <v/>
      </c>
    </row>
    <row r="36" ht="15" customHeight="1">
      <c r="B36" s="12">
        <f>$B$8</f>
        <v/>
      </c>
      <c r="C36" s="13" t="inlineStr">
        <is>
          <t>Diciembre</t>
        </is>
      </c>
      <c r="D36" s="14">
        <f>$D$8</f>
        <v/>
      </c>
      <c r="E36" s="17" t="n">
        <v>901019.8</v>
      </c>
      <c r="F36" s="17" t="n"/>
      <c r="G36" s="17">
        <f>E36-F36</f>
        <v/>
      </c>
      <c r="H36" s="17" t="n">
        <v>953053.87</v>
      </c>
      <c r="I36" s="17" t="n">
        <v>0</v>
      </c>
      <c r="J36" s="17">
        <f>H36-I36</f>
        <v/>
      </c>
      <c r="K36" s="17">
        <f>((G36/J36)*100)-100</f>
        <v/>
      </c>
      <c r="L36" s="38" t="n"/>
      <c r="M36" s="17">
        <f>G36*L36</f>
        <v/>
      </c>
      <c r="N36" s="17" t="n">
        <v>-2.32</v>
      </c>
      <c r="O36" s="39">
        <f>M36-N36</f>
        <v/>
      </c>
    </row>
    <row r="37" ht="15" customHeight="1">
      <c r="B37" s="13" t="n"/>
      <c r="C37" s="13" t="n"/>
      <c r="D37" s="13" t="n"/>
      <c r="E37" s="17" t="n"/>
      <c r="F37" s="17" t="n"/>
      <c r="G37" s="17" t="n"/>
      <c r="H37" s="17" t="n"/>
      <c r="I37" s="17" t="n"/>
      <c r="J37" s="17" t="n"/>
      <c r="K37" s="17" t="n"/>
      <c r="L37" s="38" t="n"/>
      <c r="M37" s="17" t="n"/>
      <c r="N37" s="17" t="n"/>
      <c r="O37" s="40">
        <f>SUM(O25:O36)</f>
        <v/>
      </c>
    </row>
    <row r="38" ht="15" customHeight="1">
      <c r="B38" s="12">
        <f>$B$8</f>
        <v/>
      </c>
      <c r="C38" s="13" t="inlineStr">
        <is>
          <t>TOTAL</t>
        </is>
      </c>
      <c r="D38" s="14">
        <f>$D$8</f>
        <v/>
      </c>
      <c r="E38" s="17">
        <f>+SUM(E25:E37)</f>
        <v/>
      </c>
      <c r="F38" s="17" t="n">
        <v>0</v>
      </c>
      <c r="G38" s="17">
        <f>E38-F38</f>
        <v/>
      </c>
      <c r="H38" s="17">
        <f>+SUM(H25:H37)</f>
        <v/>
      </c>
      <c r="I38" s="17" t="n">
        <v>0</v>
      </c>
      <c r="J38" s="17">
        <f>H38-I38</f>
        <v/>
      </c>
      <c r="K38" s="17">
        <f>((G38/J38)*100)-100</f>
        <v/>
      </c>
      <c r="L38" s="38" t="n">
        <v>0</v>
      </c>
      <c r="M38" s="17">
        <f>G38*L38</f>
        <v/>
      </c>
      <c r="N38" s="41">
        <f>+SUM(N25:N36)</f>
        <v/>
      </c>
      <c r="O38" s="39">
        <f>M38-N38</f>
        <v/>
      </c>
    </row>
    <row r="39" ht="15" customHeight="1">
      <c r="L39" s="34" t="n"/>
      <c r="O39" s="35" t="n"/>
    </row>
    <row r="40" ht="15" customHeight="1">
      <c r="B40" s="24" t="inlineStr">
        <is>
          <t>2022-2021</t>
        </is>
      </c>
    </row>
    <row r="41" ht="15" customHeight="1">
      <c r="B41" s="8" t="inlineStr">
        <is>
          <t>Proveedor</t>
        </is>
      </c>
      <c r="C41" s="8" t="inlineStr">
        <is>
          <t>Mes</t>
        </is>
      </c>
      <c r="D41" s="8" t="inlineStr">
        <is>
          <t>Convenio</t>
        </is>
      </c>
      <c r="E41" s="9" t="inlineStr">
        <is>
          <t>Base Compra 2022</t>
        </is>
      </c>
      <c r="F41" s="9" t="inlineStr">
        <is>
          <t>Devoluciones</t>
        </is>
      </c>
      <c r="G41" s="9" t="inlineStr">
        <is>
          <t>Total Base Compra 2022</t>
        </is>
      </c>
      <c r="H41" s="10" t="inlineStr">
        <is>
          <t>Base Compra 2021</t>
        </is>
      </c>
      <c r="I41" s="10" t="inlineStr">
        <is>
          <t>Devolucion 2021</t>
        </is>
      </c>
      <c r="J41" s="10" t="inlineStr">
        <is>
          <t>Total Base Compra 2021</t>
        </is>
      </c>
      <c r="K41" s="10" t="inlineStr">
        <is>
          <t>Crecimiento</t>
        </is>
      </c>
      <c r="L41" s="36" t="inlineStr">
        <is>
          <t>Porcentaje</t>
        </is>
      </c>
      <c r="M41" s="9" t="inlineStr">
        <is>
          <t>Descuento calculado correcto</t>
        </is>
      </c>
      <c r="N41" s="9" t="inlineStr">
        <is>
          <t>Descuento aplicado</t>
        </is>
      </c>
      <c r="O41" s="37" t="inlineStr">
        <is>
          <t xml:space="preserve">Diferencia </t>
        </is>
      </c>
    </row>
    <row r="42" ht="15" customHeight="1">
      <c r="B42" s="12">
        <f>$B$8</f>
        <v/>
      </c>
      <c r="C42" s="13" t="inlineStr">
        <is>
          <t>Enero</t>
        </is>
      </c>
      <c r="D42" s="14">
        <f>$D$8</f>
        <v/>
      </c>
      <c r="E42" s="17" t="n">
        <v>666905.28</v>
      </c>
      <c r="F42" s="17" t="n"/>
      <c r="G42" s="17">
        <f>E42-F42</f>
        <v/>
      </c>
      <c r="H42" s="17" t="n">
        <v>810439.53</v>
      </c>
      <c r="I42" s="17" t="n"/>
      <c r="J42" s="17">
        <f>H42-I42</f>
        <v/>
      </c>
      <c r="K42" s="17">
        <f>((G42/J42)*100)-100</f>
        <v/>
      </c>
      <c r="L42" s="38" t="n"/>
      <c r="M42" s="17">
        <f>G42*L42</f>
        <v/>
      </c>
      <c r="N42" s="17" t="n">
        <v>-2.32</v>
      </c>
      <c r="O42" s="39">
        <f>M42-N42</f>
        <v/>
      </c>
    </row>
    <row r="43" ht="15" customHeight="1">
      <c r="B43" s="12">
        <f>$B$8</f>
        <v/>
      </c>
      <c r="C43" s="13" t="inlineStr">
        <is>
          <t>Febrero</t>
        </is>
      </c>
      <c r="D43" s="14">
        <f>$D$8</f>
        <v/>
      </c>
      <c r="E43" s="17" t="n">
        <v>500388.35</v>
      </c>
      <c r="F43" s="17" t="n"/>
      <c r="G43" s="17">
        <f>E43-F43</f>
        <v/>
      </c>
      <c r="H43" s="17" t="n">
        <v>670171.53</v>
      </c>
      <c r="I43" s="17" t="n"/>
      <c r="J43" s="17">
        <f>H43-I43</f>
        <v/>
      </c>
      <c r="K43" s="17">
        <f>((G43/J43)*100)-100</f>
        <v/>
      </c>
      <c r="L43" s="38" t="n"/>
      <c r="M43" s="17">
        <f>G43*L43</f>
        <v/>
      </c>
      <c r="N43" s="17" t="n">
        <v>-2.32</v>
      </c>
      <c r="O43" s="39">
        <f>M43-N43</f>
        <v/>
      </c>
    </row>
    <row r="44" ht="15" customHeight="1">
      <c r="B44" s="12">
        <f>$B$8</f>
        <v/>
      </c>
      <c r="C44" s="13" t="inlineStr">
        <is>
          <t>Marzo</t>
        </is>
      </c>
      <c r="D44" s="14">
        <f>$D$8</f>
        <v/>
      </c>
      <c r="E44" s="17" t="n">
        <v>521935.48</v>
      </c>
      <c r="F44" s="17" t="n"/>
      <c r="G44" s="17">
        <f>E44-F44</f>
        <v/>
      </c>
      <c r="H44" s="17" t="n">
        <v>649451.23</v>
      </c>
      <c r="I44" s="17" t="n"/>
      <c r="J44" s="17">
        <f>H44-I44</f>
        <v/>
      </c>
      <c r="K44" s="17">
        <f>((G44/J44)*100)-100</f>
        <v/>
      </c>
      <c r="L44" s="38" t="n"/>
      <c r="M44" s="17">
        <f>G44*L44</f>
        <v/>
      </c>
      <c r="N44" s="17" t="n">
        <v>-2.32</v>
      </c>
      <c r="O44" s="39">
        <f>M44-N44</f>
        <v/>
      </c>
    </row>
    <row r="45" ht="15" customHeight="1">
      <c r="B45" s="12">
        <f>$B$8</f>
        <v/>
      </c>
      <c r="C45" s="13" t="inlineStr">
        <is>
          <t>Abril</t>
        </is>
      </c>
      <c r="D45" s="14">
        <f>$D$8</f>
        <v/>
      </c>
      <c r="E45" s="17" t="n">
        <v>578725.89</v>
      </c>
      <c r="F45" s="17" t="n"/>
      <c r="G45" s="17">
        <f>E45-F45</f>
        <v/>
      </c>
      <c r="H45" s="17" t="n">
        <v>584441.21</v>
      </c>
      <c r="I45" s="17" t="n"/>
      <c r="J45" s="17">
        <f>H45-I45</f>
        <v/>
      </c>
      <c r="K45" s="17">
        <f>((G45/J45)*100)-100</f>
        <v/>
      </c>
      <c r="L45" s="38" t="n"/>
      <c r="M45" s="17">
        <f>G45*L45</f>
        <v/>
      </c>
      <c r="N45" s="17" t="n">
        <v>-2.32</v>
      </c>
      <c r="O45" s="39">
        <f>M45-N45</f>
        <v/>
      </c>
    </row>
    <row r="46" ht="15" customHeight="1">
      <c r="B46" s="12">
        <f>$B$8</f>
        <v/>
      </c>
      <c r="C46" s="13" t="inlineStr">
        <is>
          <t>Mayo</t>
        </is>
      </c>
      <c r="D46" s="14">
        <f>$D$8</f>
        <v/>
      </c>
      <c r="E46" s="17" t="n">
        <v>436909.59</v>
      </c>
      <c r="F46" s="17" t="n"/>
      <c r="G46" s="17">
        <f>E46-F46</f>
        <v/>
      </c>
      <c r="H46" s="17" t="n">
        <v>694686.74</v>
      </c>
      <c r="I46" s="17" t="n"/>
      <c r="J46" s="17">
        <f>H46-I46</f>
        <v/>
      </c>
      <c r="K46" s="17">
        <f>((G46/J46)*100)-100</f>
        <v/>
      </c>
      <c r="L46" s="38" t="n"/>
      <c r="M46" s="17">
        <f>G46*L46</f>
        <v/>
      </c>
      <c r="N46" s="17" t="n">
        <v>-2.32</v>
      </c>
      <c r="O46" s="39">
        <f>M46-N46</f>
        <v/>
      </c>
    </row>
    <row r="47" ht="15" customHeight="1">
      <c r="B47" s="12">
        <f>$B$8</f>
        <v/>
      </c>
      <c r="C47" s="13" t="inlineStr">
        <is>
          <t>Junio</t>
        </is>
      </c>
      <c r="D47" s="14">
        <f>$D$8</f>
        <v/>
      </c>
      <c r="E47" s="17" t="n">
        <v>472672.28</v>
      </c>
      <c r="F47" s="17" t="n"/>
      <c r="G47" s="17">
        <f>E47-F47</f>
        <v/>
      </c>
      <c r="H47" s="17" t="n">
        <v>638335.12</v>
      </c>
      <c r="I47" s="17" t="n"/>
      <c r="J47" s="17">
        <f>H47-I47</f>
        <v/>
      </c>
      <c r="K47" s="17">
        <f>((G47/J47)*100)-100</f>
        <v/>
      </c>
      <c r="L47" s="38" t="n"/>
      <c r="M47" s="17">
        <f>G47*L47</f>
        <v/>
      </c>
      <c r="N47" s="17" t="n">
        <v>-2.32</v>
      </c>
      <c r="O47" s="39">
        <f>M47-N47</f>
        <v/>
      </c>
    </row>
    <row r="48" ht="15" customHeight="1">
      <c r="B48" s="12">
        <f>$B$8</f>
        <v/>
      </c>
      <c r="C48" s="13" t="inlineStr">
        <is>
          <t>Julio</t>
        </is>
      </c>
      <c r="D48" s="14">
        <f>$D$8</f>
        <v/>
      </c>
      <c r="E48" s="17" t="n">
        <v>649246.62</v>
      </c>
      <c r="F48" s="17" t="n"/>
      <c r="G48" s="17">
        <f>E48-F48</f>
        <v/>
      </c>
      <c r="H48" s="17" t="n">
        <v>1349817.75</v>
      </c>
      <c r="I48" s="17" t="n">
        <v>-999.59</v>
      </c>
      <c r="J48" s="17">
        <f>H48-I48</f>
        <v/>
      </c>
      <c r="K48" s="17">
        <f>((G48/J48)*100)-100</f>
        <v/>
      </c>
      <c r="L48" s="38" t="n"/>
      <c r="M48" s="17">
        <f>G48*L48</f>
        <v/>
      </c>
      <c r="N48" s="17" t="n">
        <v>-2.32</v>
      </c>
      <c r="O48" s="39">
        <f>M48-N48</f>
        <v/>
      </c>
    </row>
    <row r="49" ht="15" customHeight="1">
      <c r="B49" s="12">
        <f>$B$8</f>
        <v/>
      </c>
      <c r="C49" s="13" t="inlineStr">
        <is>
          <t>Agosto</t>
        </is>
      </c>
      <c r="D49" s="14">
        <f>$D$8</f>
        <v/>
      </c>
      <c r="E49" s="17" t="n">
        <v>325062.05</v>
      </c>
      <c r="F49" s="17" t="n"/>
      <c r="G49" s="17">
        <f>E49-F49</f>
        <v/>
      </c>
      <c r="H49" s="17" t="n">
        <v>548232.12</v>
      </c>
      <c r="I49" s="17" t="n"/>
      <c r="J49" s="17">
        <f>H49-I49</f>
        <v/>
      </c>
      <c r="K49" s="17">
        <f>((G49/J49)*100)-100</f>
        <v/>
      </c>
      <c r="L49" s="38" t="n"/>
      <c r="M49" s="17">
        <f>G49*L49</f>
        <v/>
      </c>
      <c r="N49" s="17" t="n">
        <v>-2.32</v>
      </c>
      <c r="O49" s="39">
        <f>M49-N49</f>
        <v/>
      </c>
    </row>
    <row r="50" ht="15" customHeight="1">
      <c r="B50" s="12">
        <f>$B$8</f>
        <v/>
      </c>
      <c r="C50" s="13" t="inlineStr">
        <is>
          <t>Septiembre</t>
        </is>
      </c>
      <c r="D50" s="14">
        <f>$D$8</f>
        <v/>
      </c>
      <c r="E50" s="17" t="n">
        <v>370811.45</v>
      </c>
      <c r="F50" s="17" t="n"/>
      <c r="G50" s="17">
        <f>E50-F50</f>
        <v/>
      </c>
      <c r="H50" s="17" t="n">
        <v>543631.92</v>
      </c>
      <c r="I50" s="17" t="n">
        <v>-137.51</v>
      </c>
      <c r="J50" s="17">
        <f>H50-I50</f>
        <v/>
      </c>
      <c r="K50" s="17">
        <f>((G50/J50)*100)-100</f>
        <v/>
      </c>
      <c r="L50" s="38" t="n"/>
      <c r="M50" s="17">
        <f>G50*L50</f>
        <v/>
      </c>
      <c r="N50" s="17" t="n">
        <v>-2.32</v>
      </c>
      <c r="O50" s="39">
        <f>M50-N50</f>
        <v/>
      </c>
    </row>
    <row r="51" ht="15" customHeight="1">
      <c r="B51" s="12">
        <f>$B$8</f>
        <v/>
      </c>
      <c r="C51" s="13" t="inlineStr">
        <is>
          <t>Octubre</t>
        </is>
      </c>
      <c r="D51" s="14">
        <f>$D$8</f>
        <v/>
      </c>
      <c r="E51" s="17" t="n">
        <v>792203.25</v>
      </c>
      <c r="F51" s="17" t="n"/>
      <c r="G51" s="17">
        <f>E51-F51</f>
        <v/>
      </c>
      <c r="H51" s="17" t="n">
        <v>558131.47</v>
      </c>
      <c r="I51" s="17" t="n"/>
      <c r="J51" s="17">
        <f>H51-I51</f>
        <v/>
      </c>
      <c r="K51" s="17">
        <f>((G51/J51)*100)-100</f>
        <v/>
      </c>
      <c r="L51" s="38" t="n"/>
      <c r="M51" s="17">
        <f>G51*L51</f>
        <v/>
      </c>
      <c r="N51" s="17" t="n">
        <v>-2.32</v>
      </c>
      <c r="O51" s="39">
        <f>M51-N51</f>
        <v/>
      </c>
    </row>
    <row r="52" ht="15" customHeight="1">
      <c r="B52" s="12">
        <f>$B$8</f>
        <v/>
      </c>
      <c r="C52" s="13" t="inlineStr">
        <is>
          <t>Noviembre</t>
        </is>
      </c>
      <c r="D52" s="14">
        <f>$D$8</f>
        <v/>
      </c>
      <c r="E52" s="17" t="n">
        <v>489107.26</v>
      </c>
      <c r="F52" s="17" t="n"/>
      <c r="G52" s="17">
        <f>E52-F52</f>
        <v/>
      </c>
      <c r="H52" s="17" t="n">
        <v>573198.36</v>
      </c>
      <c r="I52" s="17" t="n"/>
      <c r="J52" s="17">
        <f>H52-I52</f>
        <v/>
      </c>
      <c r="K52" s="17">
        <f>((G52/J52)*100)-100</f>
        <v/>
      </c>
      <c r="L52" s="38" t="n"/>
      <c r="M52" s="17">
        <f>G52*L52</f>
        <v/>
      </c>
      <c r="N52" s="17" t="n">
        <v>-2.32</v>
      </c>
      <c r="O52" s="39">
        <f>M52-N52</f>
        <v/>
      </c>
    </row>
    <row r="53" ht="15" customHeight="1">
      <c r="B53" s="12">
        <f>$B$8</f>
        <v/>
      </c>
      <c r="C53" s="13" t="inlineStr">
        <is>
          <t>Diciembre</t>
        </is>
      </c>
      <c r="D53" s="14">
        <f>$D$8</f>
        <v/>
      </c>
      <c r="E53" s="17" t="n">
        <v>662964.8199999999</v>
      </c>
      <c r="F53" s="41" t="n"/>
      <c r="G53" s="17">
        <f>E53-F53</f>
        <v/>
      </c>
      <c r="H53" s="17" t="n">
        <v>901019.8</v>
      </c>
      <c r="I53" s="17" t="n"/>
      <c r="J53" s="17">
        <f>H53-I53</f>
        <v/>
      </c>
      <c r="K53" s="17">
        <f>((G53/J53)*100)-100</f>
        <v/>
      </c>
      <c r="L53" s="38" t="n"/>
      <c r="M53" s="17">
        <f>G53*L53</f>
        <v/>
      </c>
      <c r="N53" s="17" t="n"/>
      <c r="O53" s="39">
        <f>M53-N53</f>
        <v/>
      </c>
    </row>
    <row r="54" ht="15" customHeight="1">
      <c r="B54" s="13" t="n"/>
      <c r="C54" s="13" t="n"/>
      <c r="D54" s="13" t="n"/>
      <c r="E54" s="17" t="n"/>
      <c r="F54" s="17" t="n"/>
      <c r="G54" s="17" t="n"/>
      <c r="H54" s="17" t="n"/>
      <c r="I54" s="17" t="n"/>
      <c r="J54" s="17" t="n"/>
      <c r="K54" s="17" t="n"/>
      <c r="L54" s="38" t="n"/>
      <c r="M54" s="17" t="n"/>
      <c r="N54" s="17" t="n"/>
      <c r="O54" s="40">
        <f>SUM(O42:O53)</f>
        <v/>
      </c>
    </row>
    <row r="55" ht="15" customHeight="1">
      <c r="B55" s="12">
        <f>$B$8</f>
        <v/>
      </c>
      <c r="C55" s="13" t="inlineStr">
        <is>
          <t>TOTAL</t>
        </is>
      </c>
      <c r="D55" s="14">
        <f>$D$8</f>
        <v/>
      </c>
      <c r="E55" s="17">
        <f>+SUM(E42:E54)</f>
        <v/>
      </c>
      <c r="F55" s="17" t="n">
        <v>0</v>
      </c>
      <c r="G55" s="17">
        <f>E55-F55</f>
        <v/>
      </c>
      <c r="H55" s="17">
        <f>+SUM(H42:H54)</f>
        <v/>
      </c>
      <c r="I55" s="17" t="n">
        <v>0</v>
      </c>
      <c r="J55" s="17">
        <f>H55-I55</f>
        <v/>
      </c>
      <c r="K55" s="17">
        <f>((G55/J55)*100)-100</f>
        <v/>
      </c>
      <c r="L55" s="38" t="n">
        <v>0</v>
      </c>
      <c r="M55" s="17">
        <f>G55*L55</f>
        <v/>
      </c>
      <c r="N55" s="41">
        <f>+SUM(N42:N53)</f>
        <v/>
      </c>
      <c r="O55" s="39">
        <f>M55-N55</f>
        <v/>
      </c>
    </row>
    <row r="56" ht="15" customHeight="1">
      <c r="N56" s="22" t="n"/>
      <c r="O56" s="22" t="n"/>
    </row>
    <row r="57" ht="15" customHeight="1">
      <c r="B57" s="24" t="inlineStr">
        <is>
          <t>2023-2022</t>
        </is>
      </c>
    </row>
    <row r="58" ht="15" customHeight="1">
      <c r="B58" s="8" t="inlineStr">
        <is>
          <t>Proveedor</t>
        </is>
      </c>
      <c r="C58" s="8" t="inlineStr">
        <is>
          <t>Mes</t>
        </is>
      </c>
      <c r="D58" s="8" t="inlineStr">
        <is>
          <t>Convenio</t>
        </is>
      </c>
      <c r="E58" s="9" t="inlineStr">
        <is>
          <t>Base Compra 2023</t>
        </is>
      </c>
      <c r="F58" s="9" t="inlineStr">
        <is>
          <t>Devoluciones</t>
        </is>
      </c>
      <c r="G58" s="9" t="inlineStr">
        <is>
          <t>Total Base Compra 2023</t>
        </is>
      </c>
      <c r="H58" s="10" t="inlineStr">
        <is>
          <t>Base Compra 2022</t>
        </is>
      </c>
      <c r="I58" s="10" t="inlineStr">
        <is>
          <t>Devolucion 2022</t>
        </is>
      </c>
      <c r="J58" s="10" t="inlineStr">
        <is>
          <t>Total Base Compra 2022</t>
        </is>
      </c>
      <c r="K58" s="10" t="inlineStr">
        <is>
          <t>Crecimiento</t>
        </is>
      </c>
      <c r="L58" s="36" t="inlineStr">
        <is>
          <t>Porcentaje</t>
        </is>
      </c>
      <c r="M58" s="9" t="inlineStr">
        <is>
          <t>Descuento calculado correcto</t>
        </is>
      </c>
      <c r="N58" s="9" t="inlineStr">
        <is>
          <t>Descuento aplicado</t>
        </is>
      </c>
      <c r="O58" s="37" t="inlineStr">
        <is>
          <t xml:space="preserve">Diferencia </t>
        </is>
      </c>
    </row>
    <row r="59" ht="15" customHeight="1">
      <c r="B59" s="12">
        <f>$B$8</f>
        <v/>
      </c>
      <c r="C59" s="13" t="inlineStr">
        <is>
          <t>Enero</t>
        </is>
      </c>
      <c r="D59" s="14">
        <f>$D$8</f>
        <v/>
      </c>
      <c r="E59" s="17" t="n">
        <v>560202.62</v>
      </c>
      <c r="F59" s="17" t="n">
        <v>-492.39</v>
      </c>
      <c r="G59" s="17">
        <f>E59-F59</f>
        <v/>
      </c>
      <c r="H59" s="17" t="n">
        <v>666905.28</v>
      </c>
      <c r="I59" s="17" t="n"/>
      <c r="J59" s="17">
        <f>H59-I59</f>
        <v/>
      </c>
      <c r="K59" s="17">
        <f>((G59/J59)*100)-100</f>
        <v/>
      </c>
      <c r="L59" s="38" t="n"/>
      <c r="M59" s="17">
        <f>G59*L59</f>
        <v/>
      </c>
      <c r="N59" s="17" t="n"/>
      <c r="O59" s="39">
        <f>M59-N59</f>
        <v/>
      </c>
    </row>
    <row r="60" ht="15" customHeight="1">
      <c r="B60" s="12">
        <f>$B$8</f>
        <v/>
      </c>
      <c r="C60" s="13" t="inlineStr">
        <is>
          <t>Febrero</t>
        </is>
      </c>
      <c r="D60" s="14">
        <f>$D$8</f>
        <v/>
      </c>
      <c r="E60" s="17" t="n">
        <v>242060.52</v>
      </c>
      <c r="F60" s="17" t="n"/>
      <c r="G60" s="17">
        <f>E60-F60</f>
        <v/>
      </c>
      <c r="H60" s="17" t="n">
        <v>500388.35</v>
      </c>
      <c r="I60" s="17" t="n"/>
      <c r="J60" s="17">
        <f>H60-I60</f>
        <v/>
      </c>
      <c r="K60" s="17">
        <f>((G60/J60)*100)-100</f>
        <v/>
      </c>
      <c r="L60" s="38" t="n"/>
      <c r="M60" s="17">
        <f>G60*L60</f>
        <v/>
      </c>
      <c r="N60" s="17" t="n">
        <v>-4.64</v>
      </c>
      <c r="O60" s="39">
        <f>M60-N60</f>
        <v/>
      </c>
    </row>
    <row r="61" ht="15" customHeight="1">
      <c r="B61" s="12">
        <f>$B$8</f>
        <v/>
      </c>
      <c r="C61" s="13" t="inlineStr">
        <is>
          <t>Marzo</t>
        </is>
      </c>
      <c r="D61" s="14">
        <f>$D$8</f>
        <v/>
      </c>
      <c r="E61" s="17" t="n">
        <v>400036.84</v>
      </c>
      <c r="F61" s="17" t="n"/>
      <c r="G61" s="17">
        <f>E61-F61</f>
        <v/>
      </c>
      <c r="H61" s="17" t="n">
        <v>521935.48</v>
      </c>
      <c r="I61" s="17" t="n"/>
      <c r="J61" s="17">
        <f>H61-I61</f>
        <v/>
      </c>
      <c r="K61" s="17">
        <f>((G61/J61)*100)-100</f>
        <v/>
      </c>
      <c r="L61" s="38" t="n"/>
      <c r="M61" s="17">
        <f>G61*L61</f>
        <v/>
      </c>
      <c r="N61" s="17" t="n"/>
      <c r="O61" s="39">
        <f>M61-N61</f>
        <v/>
      </c>
    </row>
    <row r="62" ht="15" customHeight="1">
      <c r="B62" s="12">
        <f>$B$8</f>
        <v/>
      </c>
      <c r="C62" s="13" t="inlineStr">
        <is>
          <t>Abril</t>
        </is>
      </c>
      <c r="D62" s="14">
        <f>$D$8</f>
        <v/>
      </c>
      <c r="E62" s="17" t="n">
        <v>453600.72</v>
      </c>
      <c r="F62" s="17" t="n"/>
      <c r="G62" s="17">
        <f>E62-F62</f>
        <v/>
      </c>
      <c r="H62" s="17" t="n">
        <v>578725.89</v>
      </c>
      <c r="I62" s="17" t="n"/>
      <c r="J62" s="17">
        <f>H62-I62</f>
        <v/>
      </c>
      <c r="K62" s="17">
        <f>((G62/J62)*100)-100</f>
        <v/>
      </c>
      <c r="L62" s="38" t="n"/>
      <c r="M62" s="17">
        <f>G62*L62</f>
        <v/>
      </c>
      <c r="N62" s="17" t="n"/>
      <c r="O62" s="39">
        <f>M62-N62</f>
        <v/>
      </c>
    </row>
    <row r="63" ht="15" customHeight="1">
      <c r="B63" s="12">
        <f>$B$8</f>
        <v/>
      </c>
      <c r="C63" s="13" t="inlineStr">
        <is>
          <t>Mayo</t>
        </is>
      </c>
      <c r="D63" s="14">
        <f>$D$8</f>
        <v/>
      </c>
      <c r="E63" s="17" t="n">
        <v>484690.32</v>
      </c>
      <c r="F63" s="17" t="n"/>
      <c r="G63" s="17">
        <f>E63-F63</f>
        <v/>
      </c>
      <c r="H63" s="17" t="n">
        <v>436909.59</v>
      </c>
      <c r="I63" s="17" t="n"/>
      <c r="J63" s="17">
        <f>H63-I63</f>
        <v/>
      </c>
      <c r="K63" s="17">
        <f>((G63/J63)*100)-100</f>
        <v/>
      </c>
      <c r="L63" s="38" t="n"/>
      <c r="M63" s="17">
        <f>G63*L63</f>
        <v/>
      </c>
      <c r="N63" s="17" t="n"/>
      <c r="O63" s="39">
        <f>M63-N63</f>
        <v/>
      </c>
    </row>
    <row r="64" ht="15" customHeight="1">
      <c r="B64" s="12">
        <f>$B$8</f>
        <v/>
      </c>
      <c r="C64" s="13" t="inlineStr">
        <is>
          <t>Junio</t>
        </is>
      </c>
      <c r="D64" s="14">
        <f>$D$8</f>
        <v/>
      </c>
      <c r="E64" s="17" t="n">
        <v>662915.01</v>
      </c>
      <c r="F64" s="17" t="n"/>
      <c r="G64" s="17">
        <f>E64-F64</f>
        <v/>
      </c>
      <c r="H64" s="17" t="n">
        <v>472672.28</v>
      </c>
      <c r="I64" s="17" t="n"/>
      <c r="J64" s="17">
        <f>H64-I64</f>
        <v/>
      </c>
      <c r="K64" s="17">
        <f>((G64/J64)*100)-100</f>
        <v/>
      </c>
      <c r="L64" s="38" t="n"/>
      <c r="M64" s="17">
        <f>G64*L64</f>
        <v/>
      </c>
      <c r="N64" s="17" t="n">
        <v>-2.32</v>
      </c>
      <c r="O64" s="39">
        <f>M64-N64</f>
        <v/>
      </c>
    </row>
    <row r="65" ht="15" customHeight="1">
      <c r="B65" s="12">
        <f>$B$8</f>
        <v/>
      </c>
      <c r="C65" s="13" t="inlineStr">
        <is>
          <t>Julio</t>
        </is>
      </c>
      <c r="D65" s="14">
        <f>$D$8</f>
        <v/>
      </c>
      <c r="E65" s="17" t="n">
        <v>510551.51</v>
      </c>
      <c r="F65" s="17" t="n"/>
      <c r="G65" s="17">
        <f>E65-F65</f>
        <v/>
      </c>
      <c r="H65" s="17" t="n">
        <v>649246.62</v>
      </c>
      <c r="I65" s="17" t="n"/>
      <c r="J65" s="17">
        <f>H65-I65</f>
        <v/>
      </c>
      <c r="K65" s="17">
        <f>((G65/J65)*100)-100</f>
        <v/>
      </c>
      <c r="L65" s="38" t="n"/>
      <c r="M65" s="17">
        <f>G65*L65</f>
        <v/>
      </c>
      <c r="N65" s="17" t="n"/>
      <c r="O65" s="39">
        <f>M65-N65</f>
        <v/>
      </c>
    </row>
    <row r="66" ht="15" customHeight="1">
      <c r="B66" s="12">
        <f>$B$8</f>
        <v/>
      </c>
      <c r="C66" s="13" t="inlineStr">
        <is>
          <t>Agosto</t>
        </is>
      </c>
      <c r="D66" s="14">
        <f>$D$8</f>
        <v/>
      </c>
      <c r="E66" s="17" t="n">
        <v>391055.54</v>
      </c>
      <c r="F66" s="17" t="n"/>
      <c r="G66" s="17">
        <f>E66-F66</f>
        <v/>
      </c>
      <c r="H66" s="17" t="n">
        <v>325062.05</v>
      </c>
      <c r="I66" s="17" t="n"/>
      <c r="J66" s="17">
        <f>H66-I66</f>
        <v/>
      </c>
      <c r="K66" s="17">
        <f>((G66/J66)*100)-100</f>
        <v/>
      </c>
      <c r="L66" s="38" t="n"/>
      <c r="M66" s="17">
        <f>G66*L66</f>
        <v/>
      </c>
      <c r="N66" s="17" t="n"/>
      <c r="O66" s="39">
        <f>M66-N66</f>
        <v/>
      </c>
    </row>
    <row r="67" ht="15" customHeight="1">
      <c r="B67" s="12">
        <f>$B$8</f>
        <v/>
      </c>
      <c r="C67" s="13" t="inlineStr">
        <is>
          <t>Septiembre</t>
        </is>
      </c>
      <c r="D67" s="14">
        <f>$D$8</f>
        <v/>
      </c>
      <c r="E67" s="17" t="n">
        <v>402244.64</v>
      </c>
      <c r="F67" s="17" t="n"/>
      <c r="G67" s="17">
        <f>E67-F67</f>
        <v/>
      </c>
      <c r="H67" s="17" t="n">
        <v>370811.45</v>
      </c>
      <c r="I67" s="17" t="n"/>
      <c r="J67" s="17">
        <f>H67-I67</f>
        <v/>
      </c>
      <c r="K67" s="17">
        <f>((G67/J67)*100)-100</f>
        <v/>
      </c>
      <c r="L67" s="38" t="n"/>
      <c r="M67" s="17">
        <f>G67*L67</f>
        <v/>
      </c>
      <c r="N67" s="17" t="n"/>
      <c r="O67" s="39">
        <f>M67-N67</f>
        <v/>
      </c>
    </row>
    <row r="68" ht="15" customHeight="1">
      <c r="B68" s="12">
        <f>$B$8</f>
        <v/>
      </c>
      <c r="C68" s="13" t="inlineStr">
        <is>
          <t>Octubre</t>
        </is>
      </c>
      <c r="D68" s="14">
        <f>$D$8</f>
        <v/>
      </c>
      <c r="E68" s="17" t="n">
        <v>406430.29</v>
      </c>
      <c r="F68" s="17" t="n"/>
      <c r="G68" s="17">
        <f>E68-F68</f>
        <v/>
      </c>
      <c r="H68" s="17" t="n">
        <v>792203.25</v>
      </c>
      <c r="I68" s="17" t="n"/>
      <c r="J68" s="17">
        <f>H68-I68</f>
        <v/>
      </c>
      <c r="K68" s="17">
        <f>((G68/J68)*100)-100</f>
        <v/>
      </c>
      <c r="L68" s="38" t="n"/>
      <c r="M68" s="17">
        <f>G68*L68</f>
        <v/>
      </c>
      <c r="N68" s="17" t="n"/>
      <c r="O68" s="39">
        <f>M68-N68</f>
        <v/>
      </c>
    </row>
    <row r="69" ht="15" customHeight="1">
      <c r="B69" s="12">
        <f>$B$8</f>
        <v/>
      </c>
      <c r="C69" s="13" t="inlineStr">
        <is>
          <t>Noviembre</t>
        </is>
      </c>
      <c r="D69" s="14">
        <f>$D$8</f>
        <v/>
      </c>
      <c r="E69" s="17" t="n">
        <v>308447.35</v>
      </c>
      <c r="F69" s="17" t="n"/>
      <c r="G69" s="17">
        <f>E69-F69</f>
        <v/>
      </c>
      <c r="H69" s="17" t="n">
        <v>489107.26</v>
      </c>
      <c r="I69" s="17" t="n"/>
      <c r="J69" s="17">
        <f>H69-I69</f>
        <v/>
      </c>
      <c r="K69" s="17">
        <f>((G69/J69)*100)-100</f>
        <v/>
      </c>
      <c r="L69" s="38" t="n"/>
      <c r="M69" s="17">
        <f>G69*L69</f>
        <v/>
      </c>
      <c r="N69" s="17" t="n"/>
      <c r="O69" s="39">
        <f>M69-N69</f>
        <v/>
      </c>
    </row>
    <row r="70" ht="15" customHeight="1">
      <c r="B70" s="12">
        <f>$B$8</f>
        <v/>
      </c>
      <c r="C70" s="13" t="inlineStr">
        <is>
          <t>Diciembre</t>
        </is>
      </c>
      <c r="D70" s="14">
        <f>$D$8</f>
        <v/>
      </c>
      <c r="E70" s="17" t="n">
        <v>554008.97</v>
      </c>
      <c r="F70" s="17" t="n"/>
      <c r="G70" s="17">
        <f>E70-F70</f>
        <v/>
      </c>
      <c r="H70" s="17" t="n">
        <v>662964.8199999999</v>
      </c>
      <c r="I70" s="41" t="n"/>
      <c r="J70" s="17">
        <f>H70-I70</f>
        <v/>
      </c>
      <c r="K70" s="17">
        <f>((G70/J70)*100)-100</f>
        <v/>
      </c>
      <c r="L70" s="38" t="n"/>
      <c r="M70" s="17">
        <f>G70*L70</f>
        <v/>
      </c>
      <c r="N70" s="17" t="n"/>
      <c r="O70" s="39">
        <f>M70-N70</f>
        <v/>
      </c>
    </row>
    <row r="71" ht="15" customHeight="1">
      <c r="B71" s="13" t="n"/>
      <c r="C71" s="13" t="n"/>
      <c r="D71" s="13" t="n"/>
      <c r="E71" s="17" t="n"/>
      <c r="F71" s="17" t="n"/>
      <c r="G71" s="17" t="n"/>
      <c r="H71" s="17" t="n"/>
      <c r="I71" s="17" t="n"/>
      <c r="J71" s="17" t="n"/>
      <c r="K71" s="17" t="n"/>
      <c r="L71" s="38" t="n"/>
      <c r="M71" s="17" t="n"/>
      <c r="N71" s="17" t="n"/>
      <c r="O71" s="40">
        <f>SUM(O59:O70)</f>
        <v/>
      </c>
    </row>
    <row r="72" ht="15" customHeight="1">
      <c r="B72" s="12">
        <f>$B$8</f>
        <v/>
      </c>
      <c r="C72" s="13" t="inlineStr">
        <is>
          <t>TOTAL</t>
        </is>
      </c>
      <c r="D72" s="14">
        <f>$D$8</f>
        <v/>
      </c>
      <c r="E72" s="17">
        <f>+SUM(E59:E71)</f>
        <v/>
      </c>
      <c r="F72" s="17" t="n">
        <v>0</v>
      </c>
      <c r="G72" s="17">
        <f>E72-F72</f>
        <v/>
      </c>
      <c r="H72" s="17">
        <f>+SUM(H59:H71)</f>
        <v/>
      </c>
      <c r="I72" s="17" t="n">
        <v>0</v>
      </c>
      <c r="J72" s="17">
        <f>H72-I72</f>
        <v/>
      </c>
      <c r="K72" s="17">
        <f>((G72/J72)*100)-100</f>
        <v/>
      </c>
      <c r="L72" s="38" t="n">
        <v>0</v>
      </c>
      <c r="M72" s="17">
        <f>G72*L72</f>
        <v/>
      </c>
      <c r="N72" s="41">
        <f>+SUM(N59:N70)</f>
        <v/>
      </c>
      <c r="O72" s="39">
        <f>M72-N72</f>
        <v/>
      </c>
    </row>
    <row r="73" ht="15" customHeight="1">
      <c r="O73" s="22" t="n"/>
    </row>
    <row r="74" ht="15" customHeight="1">
      <c r="B74" s="24" t="inlineStr">
        <is>
          <t>2024-2023</t>
        </is>
      </c>
    </row>
    <row r="75" ht="15" customHeight="1">
      <c r="B75" s="8" t="inlineStr">
        <is>
          <t>Proveedor</t>
        </is>
      </c>
      <c r="C75" s="8" t="inlineStr">
        <is>
          <t>Mes</t>
        </is>
      </c>
      <c r="D75" s="8" t="inlineStr">
        <is>
          <t>Convenio</t>
        </is>
      </c>
      <c r="E75" s="9" t="inlineStr">
        <is>
          <t>Base Compra 2024</t>
        </is>
      </c>
      <c r="F75" s="9" t="inlineStr">
        <is>
          <t>Devoluciones</t>
        </is>
      </c>
      <c r="G75" s="9" t="inlineStr">
        <is>
          <t>Total Base Compra 2024</t>
        </is>
      </c>
      <c r="H75" s="10" t="inlineStr">
        <is>
          <t>Base Compra 2023</t>
        </is>
      </c>
      <c r="I75" s="10" t="inlineStr">
        <is>
          <t>Devolucion 2023</t>
        </is>
      </c>
      <c r="J75" s="10" t="inlineStr">
        <is>
          <t>Total Base Compra 2021</t>
        </is>
      </c>
      <c r="K75" s="10" t="inlineStr">
        <is>
          <t>Crecimiento</t>
        </is>
      </c>
      <c r="L75" s="36" t="inlineStr">
        <is>
          <t>Porcentaje</t>
        </is>
      </c>
      <c r="M75" s="9" t="inlineStr">
        <is>
          <t>Descuento calculado correcto</t>
        </is>
      </c>
      <c r="N75" s="9" t="inlineStr">
        <is>
          <t>Descuento aplicado</t>
        </is>
      </c>
      <c r="O75" s="37" t="inlineStr">
        <is>
          <t xml:space="preserve">Diferencia </t>
        </is>
      </c>
    </row>
    <row r="76" ht="15" customHeight="1">
      <c r="B76" s="12">
        <f>$B$8</f>
        <v/>
      </c>
      <c r="C76" s="13" t="inlineStr">
        <is>
          <t>Enero</t>
        </is>
      </c>
      <c r="D76" s="14">
        <f>$D$8</f>
        <v/>
      </c>
      <c r="E76" s="17" t="n">
        <v>604046.59</v>
      </c>
      <c r="F76" s="17" t="n"/>
      <c r="G76" s="17">
        <f>E76-F76</f>
        <v/>
      </c>
      <c r="H76" s="17" t="n">
        <v>560202.62</v>
      </c>
      <c r="I76" s="17" t="n">
        <v>-492.39</v>
      </c>
      <c r="J76" s="17">
        <f>H76-I76</f>
        <v/>
      </c>
      <c r="K76" s="17">
        <f>((G76/J76)*100)-100</f>
        <v/>
      </c>
      <c r="L76" s="38" t="n"/>
      <c r="M76" s="17">
        <f>G76*L76</f>
        <v/>
      </c>
      <c r="N76" s="17" t="n"/>
      <c r="O76" s="39">
        <f>M76-N76</f>
        <v/>
      </c>
    </row>
    <row r="77" ht="15" customHeight="1">
      <c r="B77" s="12">
        <f>$B$8</f>
        <v/>
      </c>
      <c r="C77" s="13" t="inlineStr">
        <is>
          <t>Febrero</t>
        </is>
      </c>
      <c r="D77" s="14">
        <f>$D$8</f>
        <v/>
      </c>
      <c r="E77" s="17" t="n">
        <v>471002.53</v>
      </c>
      <c r="F77" s="17" t="n"/>
      <c r="G77" s="17">
        <f>E77-F77</f>
        <v/>
      </c>
      <c r="H77" s="17" t="n">
        <v>242060.52</v>
      </c>
      <c r="I77" s="17" t="n"/>
      <c r="J77" s="17">
        <f>H77-I77</f>
        <v/>
      </c>
      <c r="K77" s="17">
        <f>((G77/J77)*100)-100</f>
        <v/>
      </c>
      <c r="L77" s="38" t="n"/>
      <c r="M77" s="17">
        <f>G77*L77</f>
        <v/>
      </c>
      <c r="N77" s="17" t="n"/>
      <c r="O77" s="39">
        <f>M77-N77</f>
        <v/>
      </c>
    </row>
    <row r="78" ht="15" customHeight="1">
      <c r="B78" s="12">
        <f>$B$8</f>
        <v/>
      </c>
      <c r="C78" s="13" t="inlineStr">
        <is>
          <t>Marzo</t>
        </is>
      </c>
      <c r="D78" s="14">
        <f>$D$8</f>
        <v/>
      </c>
      <c r="E78" s="17" t="n">
        <v>458158.78</v>
      </c>
      <c r="F78" s="17" t="n"/>
      <c r="G78" s="17">
        <f>E78-F78</f>
        <v/>
      </c>
      <c r="H78" s="17" t="n">
        <v>400036.84</v>
      </c>
      <c r="I78" s="17" t="n"/>
      <c r="J78" s="17">
        <f>H78-I78</f>
        <v/>
      </c>
      <c r="K78" s="17">
        <f>((G78/J78)*100)-100</f>
        <v/>
      </c>
      <c r="L78" s="38" t="n"/>
      <c r="M78" s="17">
        <f>G78*L78</f>
        <v/>
      </c>
      <c r="N78" s="17" t="n"/>
      <c r="O78" s="39">
        <f>M78-N78</f>
        <v/>
      </c>
    </row>
    <row r="79" ht="15" customHeight="1">
      <c r="B79" s="12">
        <f>$B$8</f>
        <v/>
      </c>
      <c r="C79" s="13" t="inlineStr">
        <is>
          <t>Abril</t>
        </is>
      </c>
      <c r="D79" s="14">
        <f>$D$8</f>
        <v/>
      </c>
      <c r="E79" s="17" t="n">
        <v>384423.91</v>
      </c>
      <c r="F79" s="17" t="n"/>
      <c r="G79" s="17">
        <f>E79-F79</f>
        <v/>
      </c>
      <c r="H79" s="17" t="n">
        <v>453600.72</v>
      </c>
      <c r="I79" s="17" t="n"/>
      <c r="J79" s="17">
        <f>H79-I79</f>
        <v/>
      </c>
      <c r="K79" s="17">
        <f>((G79/J79)*100)-100</f>
        <v/>
      </c>
      <c r="L79" s="38" t="n"/>
      <c r="M79" s="17">
        <f>G79*L79</f>
        <v/>
      </c>
      <c r="N79" s="17" t="n"/>
      <c r="O79" s="39">
        <f>M79-N79</f>
        <v/>
      </c>
    </row>
    <row r="80" ht="15" customHeight="1">
      <c r="B80" s="12">
        <f>$B$8</f>
        <v/>
      </c>
      <c r="C80" s="13" t="inlineStr">
        <is>
          <t>Mayo</t>
        </is>
      </c>
      <c r="D80" s="14">
        <f>$D$8</f>
        <v/>
      </c>
      <c r="E80" s="17" t="n">
        <v>337153.55</v>
      </c>
      <c r="F80" s="17" t="n"/>
      <c r="G80" s="17">
        <f>E80-F80</f>
        <v/>
      </c>
      <c r="H80" s="17" t="n">
        <v>484690.32</v>
      </c>
      <c r="I80" s="17" t="n"/>
      <c r="J80" s="17">
        <f>H80-I80</f>
        <v/>
      </c>
      <c r="K80" s="17">
        <f>((G80/J80)*100)-100</f>
        <v/>
      </c>
      <c r="L80" s="38" t="n"/>
      <c r="M80" s="17">
        <f>G80*L80</f>
        <v/>
      </c>
      <c r="N80" s="17" t="n"/>
      <c r="O80" s="39">
        <f>M80-N80</f>
        <v/>
      </c>
    </row>
    <row r="81" ht="15" customHeight="1">
      <c r="B81" s="12">
        <f>$B$8</f>
        <v/>
      </c>
      <c r="C81" s="13" t="inlineStr">
        <is>
          <t>Junio</t>
        </is>
      </c>
      <c r="D81" s="14">
        <f>$D$8</f>
        <v/>
      </c>
      <c r="E81" s="17" t="n">
        <v>302150.94</v>
      </c>
      <c r="F81" s="17" t="n"/>
      <c r="G81" s="17">
        <f>E81-F81</f>
        <v/>
      </c>
      <c r="H81" s="17" t="n">
        <v>662915.01</v>
      </c>
      <c r="I81" s="17" t="n"/>
      <c r="J81" s="17">
        <f>H81-I81</f>
        <v/>
      </c>
      <c r="K81" s="17">
        <f>((G81/J81)*100)-100</f>
        <v/>
      </c>
      <c r="L81" s="38" t="n"/>
      <c r="M81" s="17">
        <f>G81*L81</f>
        <v/>
      </c>
      <c r="N81" s="17" t="n"/>
      <c r="O81" s="39">
        <f>M81-N81</f>
        <v/>
      </c>
    </row>
    <row r="82" ht="15" customHeight="1">
      <c r="B82" s="12">
        <f>$B$8</f>
        <v/>
      </c>
      <c r="C82" s="13" t="inlineStr">
        <is>
          <t>Julio</t>
        </is>
      </c>
      <c r="D82" s="14">
        <f>$D$8</f>
        <v/>
      </c>
      <c r="E82" s="17" t="n">
        <v>568533.72</v>
      </c>
      <c r="F82" s="17" t="n"/>
      <c r="G82" s="17">
        <f>E82-F82</f>
        <v/>
      </c>
      <c r="H82" s="17" t="n">
        <v>510551.51</v>
      </c>
      <c r="I82" s="17" t="n"/>
      <c r="J82" s="17">
        <f>H82-I82</f>
        <v/>
      </c>
      <c r="K82" s="17">
        <f>((G82/J82)*100)-100</f>
        <v/>
      </c>
      <c r="L82" s="38" t="n"/>
      <c r="M82" s="17">
        <f>G82*L82</f>
        <v/>
      </c>
      <c r="N82" s="17" t="n"/>
      <c r="O82" s="39">
        <f>M82-N82</f>
        <v/>
      </c>
    </row>
    <row r="83" ht="15" customHeight="1">
      <c r="B83" s="12">
        <f>$B$8</f>
        <v/>
      </c>
      <c r="C83" s="13" t="inlineStr">
        <is>
          <t>Agosto</t>
        </is>
      </c>
      <c r="D83" s="14">
        <f>$D$8</f>
        <v/>
      </c>
      <c r="E83" s="17" t="n">
        <v>301228.43</v>
      </c>
      <c r="F83" s="17" t="n"/>
      <c r="G83" s="17">
        <f>E83-F83</f>
        <v/>
      </c>
      <c r="H83" s="17" t="n">
        <v>391055.54</v>
      </c>
      <c r="I83" s="17" t="n"/>
      <c r="J83" s="17">
        <f>H83-I83</f>
        <v/>
      </c>
      <c r="K83" s="17">
        <f>((G83/J83)*100)-100</f>
        <v/>
      </c>
      <c r="L83" s="38" t="n"/>
      <c r="M83" s="17">
        <f>G83*L83</f>
        <v/>
      </c>
      <c r="N83" s="17" t="n"/>
      <c r="O83" s="39">
        <f>M83-N83</f>
        <v/>
      </c>
    </row>
    <row r="84" ht="15" customHeight="1">
      <c r="B84" s="12">
        <f>$B$8</f>
        <v/>
      </c>
      <c r="C84" s="13" t="inlineStr">
        <is>
          <t>Septiembre</t>
        </is>
      </c>
      <c r="D84" s="14">
        <f>$D$8</f>
        <v/>
      </c>
      <c r="E84" s="17" t="n">
        <v>295131.18</v>
      </c>
      <c r="F84" s="17" t="n"/>
      <c r="G84" s="17">
        <f>E84-F84</f>
        <v/>
      </c>
      <c r="H84" s="17" t="n">
        <v>402244.64</v>
      </c>
      <c r="I84" s="17" t="n"/>
      <c r="J84" s="17">
        <f>H84-I84</f>
        <v/>
      </c>
      <c r="K84" s="17">
        <f>((G84/J84)*100)-100</f>
        <v/>
      </c>
      <c r="L84" s="38" t="n"/>
      <c r="M84" s="17">
        <f>G84*L84</f>
        <v/>
      </c>
      <c r="N84" s="17" t="n"/>
      <c r="O84" s="39">
        <f>M84-N84</f>
        <v/>
      </c>
    </row>
    <row r="85" ht="15" customHeight="1">
      <c r="B85" s="12">
        <f>$B$8</f>
        <v/>
      </c>
      <c r="C85" s="13" t="inlineStr">
        <is>
          <t>Octubre</t>
        </is>
      </c>
      <c r="D85" s="14">
        <f>$D$8</f>
        <v/>
      </c>
      <c r="E85" s="17" t="n">
        <v>160306.48</v>
      </c>
      <c r="F85" s="17" t="n"/>
      <c r="G85" s="17">
        <f>E85-F85</f>
        <v/>
      </c>
      <c r="H85" s="17" t="n">
        <v>406430.29</v>
      </c>
      <c r="I85" s="17" t="n"/>
      <c r="J85" s="17">
        <f>H85-I85</f>
        <v/>
      </c>
      <c r="K85" s="17">
        <f>((G85/J85)*100)-100</f>
        <v/>
      </c>
      <c r="L85" s="38" t="n"/>
      <c r="M85" s="17">
        <f>G85*L85</f>
        <v/>
      </c>
      <c r="N85" s="17" t="n"/>
      <c r="O85" s="39">
        <f>M85-N85</f>
        <v/>
      </c>
    </row>
    <row r="86" ht="15" customHeight="1">
      <c r="B86" s="12">
        <f>$B$8</f>
        <v/>
      </c>
      <c r="C86" s="13" t="inlineStr">
        <is>
          <t>Noviembre</t>
        </is>
      </c>
      <c r="D86" s="14">
        <f>$D$8</f>
        <v/>
      </c>
      <c r="E86" s="17" t="n"/>
      <c r="F86" s="17" t="n"/>
      <c r="G86" s="17">
        <f>E86-F86</f>
        <v/>
      </c>
      <c r="H86" s="17" t="n">
        <v>308447.35</v>
      </c>
      <c r="I86" s="17" t="n"/>
      <c r="J86" s="17">
        <f>H86-I86</f>
        <v/>
      </c>
      <c r="K86" s="17">
        <f>((G86/J86)*100)-100</f>
        <v/>
      </c>
      <c r="L86" s="38" t="n"/>
      <c r="M86" s="17">
        <f>G86*L86</f>
        <v/>
      </c>
      <c r="N86" s="17" t="n"/>
      <c r="O86" s="39">
        <f>M86-N86</f>
        <v/>
      </c>
    </row>
    <row r="87" ht="15" customHeight="1">
      <c r="B87" s="12">
        <f>$B$8</f>
        <v/>
      </c>
      <c r="C87" s="13" t="inlineStr">
        <is>
          <t>Diciembre</t>
        </is>
      </c>
      <c r="D87" s="14">
        <f>$D$8</f>
        <v/>
      </c>
      <c r="E87" s="17" t="n"/>
      <c r="F87" s="17" t="n"/>
      <c r="G87" s="17">
        <f>E87-F87</f>
        <v/>
      </c>
      <c r="H87" s="17" t="n">
        <v>554008.97</v>
      </c>
      <c r="I87" s="17" t="n"/>
      <c r="J87" s="17">
        <f>H87-I87</f>
        <v/>
      </c>
      <c r="K87" s="17">
        <f>((G87/J87)*100)-100</f>
        <v/>
      </c>
      <c r="L87" s="38" t="n"/>
      <c r="M87" s="17">
        <f>G87*L87</f>
        <v/>
      </c>
      <c r="N87" s="17" t="n"/>
      <c r="O87" s="39">
        <f>M87-N87</f>
        <v/>
      </c>
    </row>
    <row r="88" ht="15" customHeight="1">
      <c r="B88" s="13" t="n"/>
      <c r="C88" s="13" t="n"/>
      <c r="D88" s="13" t="n"/>
      <c r="E88" s="17" t="n"/>
      <c r="F88" s="17" t="n"/>
      <c r="G88" s="17" t="n"/>
      <c r="H88" s="17" t="n"/>
      <c r="I88" s="17" t="n"/>
      <c r="J88" s="17" t="n"/>
      <c r="K88" s="17" t="n"/>
      <c r="L88" s="38" t="n"/>
      <c r="M88" s="17" t="n"/>
      <c r="N88" s="17" t="n"/>
      <c r="O88" s="40">
        <f>SUM(O76:O87)</f>
        <v/>
      </c>
    </row>
    <row r="89" ht="15" customHeight="1">
      <c r="B89" s="12">
        <f>$B$8</f>
        <v/>
      </c>
      <c r="C89" s="13" t="inlineStr">
        <is>
          <t>TOTAL</t>
        </is>
      </c>
      <c r="D89" s="14">
        <f>$D$8</f>
        <v/>
      </c>
      <c r="E89" s="17">
        <f>+SUM(E76:E88)</f>
        <v/>
      </c>
      <c r="F89" s="17" t="n">
        <v>0</v>
      </c>
      <c r="G89" s="17">
        <f>E89-F89</f>
        <v/>
      </c>
      <c r="H89" s="17">
        <f>+SUM(H76:H88)</f>
        <v/>
      </c>
      <c r="I89" s="17" t="n">
        <v>0</v>
      </c>
      <c r="J89" s="17">
        <f>H89-I89</f>
        <v/>
      </c>
      <c r="K89" s="17">
        <f>((G89/J89)*100)-100</f>
        <v/>
      </c>
      <c r="L89" s="38" t="n">
        <v>0</v>
      </c>
      <c r="M89" s="17">
        <f>G89*L89</f>
        <v/>
      </c>
      <c r="N89" s="41">
        <f>+SUM(N76:N87)</f>
        <v/>
      </c>
      <c r="O89" s="39">
        <f>M89-N89</f>
        <v/>
      </c>
    </row>
    <row r="90" ht="15" customHeight="1">
      <c r="N90" s="22" t="n"/>
      <c r="O90" s="22" t="n"/>
    </row>
    <row r="91" ht="15" customHeight="1">
      <c r="N91" s="22" t="n"/>
      <c r="O91" s="22">
        <f>+O21+O38+O55+O72+O89</f>
        <v/>
      </c>
    </row>
  </sheetData>
  <mergeCells count="8">
    <mergeCell ref="B40:O40"/>
    <mergeCell ref="B57:O57"/>
    <mergeCell ref="B74:O74"/>
    <mergeCell ref="B4:O4"/>
    <mergeCell ref="B6:O6"/>
    <mergeCell ref="B2:O2"/>
    <mergeCell ref="B3:O3"/>
    <mergeCell ref="B23:O23"/>
  </mergeCells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Pineda, Oscar</dc:creator>
  <dcterms:created xmlns:dcterms="http://purl.org/dc/terms/" xmlns:xsi="http://www.w3.org/2001/XMLSchema-instance" xsi:type="dcterms:W3CDTF">2026-01-21T17:42:20Z</dcterms:created>
  <dcterms:modified xmlns:dcterms="http://purl.org/dc/terms/" xmlns:xsi="http://www.w3.org/2001/XMLSchema-instance" xsi:type="dcterms:W3CDTF">2026-08-12T13:23:41Z</dcterms:modified>
  <cp:lastModifiedBy>Pineda, Oscar</cp:lastModifiedBy>
</cp:coreProperties>
</file>